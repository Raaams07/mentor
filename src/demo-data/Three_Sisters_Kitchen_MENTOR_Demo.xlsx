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battu\Mentor\src\demo-data\"/>
    </mc:Choice>
  </mc:AlternateContent>
  <xr:revisionPtr revIDLastSave="0" documentId="13_ncr:1_{2BE4381E-229D-434A-9338-FF298A59975E}" xr6:coauthVersionLast="47" xr6:coauthVersionMax="47" xr10:uidLastSave="{00000000-0000-0000-0000-000000000000}"/>
  <bookViews>
    <workbookView xWindow="-108" yWindow="-108" windowWidth="23256" windowHeight="12456" firstSheet="5" activeTab="5" xr2:uid="{00000000-000D-0000-FFFF-FFFF00000000}"/>
  </bookViews>
  <sheets>
    <sheet name="README - Ground Truth" sheetId="1" r:id="rId1"/>
    <sheet name="Raw - Supplier Invoices" sheetId="2" r:id="rId2"/>
    <sheet name="Raw - Bank Statement" sheetId="3" r:id="rId3"/>
    <sheet name="Raw - POS Sales Report" sheetId="4" r:id="rId4"/>
    <sheet name="Raw - Payroll Summary" sheetId="5" r:id="rId5"/>
    <sheet name="Monthly P&amp;L (Demo - Start Here)" sheetId="6" r:id="rId6"/>
    <sheet name="Monthly P&amp;L (Answer Key)" sheetId="7" r:id="rId7"/>
    <sheet name="Variance Analysi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4" i="7" l="1"/>
  <c r="B18" i="7" s="1"/>
  <c r="B24" i="7" s="1"/>
  <c r="B32" i="7" s="1"/>
  <c r="E17" i="8"/>
  <c r="D15" i="8"/>
  <c r="C15" i="8"/>
  <c r="D10" i="8"/>
  <c r="B8" i="8"/>
  <c r="D29" i="7"/>
  <c r="D17" i="8" s="1"/>
  <c r="C29" i="7"/>
  <c r="C17" i="8" s="1"/>
  <c r="F17" i="8" s="1"/>
  <c r="B29" i="7"/>
  <c r="D28" i="7"/>
  <c r="E16" i="8" s="1"/>
  <c r="C28" i="7"/>
  <c r="C16" i="8" s="1"/>
  <c r="F16" i="8" s="1"/>
  <c r="B28" i="7"/>
  <c r="D27" i="7"/>
  <c r="E15" i="8" s="1"/>
  <c r="C27" i="7"/>
  <c r="B15" i="8" s="1"/>
  <c r="B27" i="7"/>
  <c r="D26" i="7"/>
  <c r="E14" i="8" s="1"/>
  <c r="C26" i="7"/>
  <c r="C14" i="8" s="1"/>
  <c r="F14" i="8" s="1"/>
  <c r="B26" i="7"/>
  <c r="B30" i="7" s="1"/>
  <c r="D21" i="7"/>
  <c r="E11" i="8" s="1"/>
  <c r="C21" i="7"/>
  <c r="C11" i="8" s="1"/>
  <c r="F11" i="8" s="1"/>
  <c r="B21" i="7"/>
  <c r="D20" i="7"/>
  <c r="D22" i="7" s="1"/>
  <c r="C20" i="7"/>
  <c r="C10" i="8" s="1"/>
  <c r="B20" i="7"/>
  <c r="B22" i="7" s="1"/>
  <c r="D17" i="7"/>
  <c r="E9" i="8" s="1"/>
  <c r="C17" i="7"/>
  <c r="C9" i="8" s="1"/>
  <c r="B17" i="7"/>
  <c r="D16" i="7"/>
  <c r="E8" i="8" s="1"/>
  <c r="C16" i="7"/>
  <c r="C8" i="8" s="1"/>
  <c r="F8" i="8" s="1"/>
  <c r="B16" i="7"/>
  <c r="D15" i="7"/>
  <c r="E7" i="8" s="1"/>
  <c r="C15" i="7"/>
  <c r="C7" i="8" s="1"/>
  <c r="F7" i="8" s="1"/>
  <c r="B15" i="7"/>
  <c r="D14" i="7"/>
  <c r="E6" i="8" s="1"/>
  <c r="C14" i="7"/>
  <c r="H12" i="5"/>
  <c r="H11" i="5"/>
  <c r="H10" i="5"/>
  <c r="H9" i="5"/>
  <c r="H8" i="5"/>
  <c r="H7" i="5"/>
  <c r="H6" i="5"/>
  <c r="H5" i="5"/>
  <c r="H4" i="5"/>
  <c r="I12" i="4"/>
  <c r="I11" i="4"/>
  <c r="I10" i="4"/>
  <c r="I9" i="4"/>
  <c r="I8" i="4"/>
  <c r="I7" i="4"/>
  <c r="I6" i="4"/>
  <c r="I5" i="4"/>
  <c r="I4" i="4"/>
  <c r="I55" i="2"/>
  <c r="H55" i="2"/>
  <c r="I54" i="2"/>
  <c r="H54" i="2"/>
  <c r="I53" i="2"/>
  <c r="H53" i="2"/>
  <c r="I52" i="2"/>
  <c r="H52" i="2"/>
  <c r="I51" i="2"/>
  <c r="H51" i="2"/>
  <c r="I50" i="2"/>
  <c r="H50" i="2"/>
  <c r="I49" i="2"/>
  <c r="H49" i="2"/>
  <c r="I48" i="2"/>
  <c r="H48" i="2"/>
  <c r="I47" i="2"/>
  <c r="H47" i="2"/>
  <c r="I46" i="2"/>
  <c r="H46" i="2"/>
  <c r="I45" i="2"/>
  <c r="H45" i="2"/>
  <c r="I44" i="2"/>
  <c r="H44" i="2"/>
  <c r="I43" i="2"/>
  <c r="H43" i="2"/>
  <c r="I42" i="2"/>
  <c r="H42" i="2"/>
  <c r="I41" i="2"/>
  <c r="H41" i="2"/>
  <c r="I40" i="2"/>
  <c r="H40" i="2"/>
  <c r="I39" i="2"/>
  <c r="H39" i="2"/>
  <c r="I38" i="2"/>
  <c r="H38" i="2"/>
  <c r="I37" i="2"/>
  <c r="H37" i="2"/>
  <c r="I36" i="2"/>
  <c r="H36" i="2"/>
  <c r="I35" i="2"/>
  <c r="H35" i="2"/>
  <c r="I34" i="2"/>
  <c r="H34" i="2"/>
  <c r="I33" i="2"/>
  <c r="H33" i="2"/>
  <c r="I32" i="2"/>
  <c r="H32" i="2"/>
  <c r="I31" i="2"/>
  <c r="H31" i="2"/>
  <c r="I30" i="2"/>
  <c r="H30" i="2"/>
  <c r="I29" i="2"/>
  <c r="H29" i="2"/>
  <c r="I28" i="2"/>
  <c r="H28" i="2"/>
  <c r="I27" i="2"/>
  <c r="H27" i="2"/>
  <c r="I26" i="2"/>
  <c r="H26" i="2"/>
  <c r="I25" i="2"/>
  <c r="H25" i="2"/>
  <c r="I24" i="2"/>
  <c r="H24" i="2"/>
  <c r="I23" i="2"/>
  <c r="H23" i="2"/>
  <c r="I22" i="2"/>
  <c r="H22" i="2"/>
  <c r="I21" i="2"/>
  <c r="H21" i="2"/>
  <c r="I20" i="2"/>
  <c r="H20" i="2"/>
  <c r="I19" i="2"/>
  <c r="H19" i="2"/>
  <c r="I18" i="2"/>
  <c r="H18" i="2"/>
  <c r="I17" i="2"/>
  <c r="H17" i="2"/>
  <c r="I16" i="2"/>
  <c r="H16" i="2"/>
  <c r="I15" i="2"/>
  <c r="H15" i="2"/>
  <c r="I14" i="2"/>
  <c r="H14" i="2"/>
  <c r="I13" i="2"/>
  <c r="H13" i="2"/>
  <c r="I12" i="2"/>
  <c r="H12" i="2"/>
  <c r="I11" i="2"/>
  <c r="H11" i="2"/>
  <c r="I10" i="2"/>
  <c r="H10" i="2"/>
  <c r="I9" i="2"/>
  <c r="H9" i="2"/>
  <c r="I8" i="2"/>
  <c r="H8" i="2"/>
  <c r="I7" i="2"/>
  <c r="H7" i="2"/>
  <c r="I6" i="2"/>
  <c r="H6" i="2"/>
  <c r="I5" i="2"/>
  <c r="H5" i="2"/>
  <c r="I4" i="2"/>
  <c r="H4" i="2"/>
  <c r="C6" i="8" l="1"/>
  <c r="F6" i="8" s="1"/>
  <c r="F15" i="8"/>
  <c r="F9" i="8"/>
  <c r="C18" i="7"/>
  <c r="E10" i="8"/>
  <c r="F10" i="8" s="1"/>
  <c r="D18" i="7"/>
  <c r="B6" i="8"/>
  <c r="D8" i="8"/>
  <c r="B11" i="8"/>
  <c r="C30" i="7"/>
  <c r="D6" i="8"/>
  <c r="B16" i="8"/>
  <c r="D30" i="7"/>
  <c r="B9" i="8"/>
  <c r="D11" i="8"/>
  <c r="B14" i="8"/>
  <c r="D16" i="8"/>
  <c r="B7" i="8"/>
  <c r="D9" i="8"/>
  <c r="D14" i="8"/>
  <c r="D7" i="8"/>
  <c r="B17" i="8"/>
  <c r="C22" i="7"/>
  <c r="D12" i="8" s="1"/>
  <c r="B10" i="8"/>
  <c r="C5" i="8" l="1"/>
  <c r="B5" i="8"/>
  <c r="C24" i="7"/>
  <c r="E18" i="8"/>
  <c r="D18" i="8"/>
  <c r="C18" i="8"/>
  <c r="F18" i="8" s="1"/>
  <c r="B18" i="8"/>
  <c r="D5" i="8"/>
  <c r="E5" i="8"/>
  <c r="D24" i="7"/>
  <c r="C12" i="8"/>
  <c r="F12" i="8" s="1"/>
  <c r="B12" i="8"/>
  <c r="E12" i="8"/>
  <c r="C32" i="7" l="1"/>
  <c r="C13" i="8"/>
  <c r="B13" i="8"/>
  <c r="D32" i="7"/>
  <c r="E13" i="8"/>
  <c r="D13" i="8"/>
  <c r="F5" i="8"/>
  <c r="E19" i="8" l="1"/>
  <c r="D19" i="8"/>
  <c r="F13" i="8"/>
  <c r="C19" i="8"/>
  <c r="F19" i="8" s="1"/>
  <c r="B19" i="8"/>
</calcChain>
</file>

<file path=xl/sharedStrings.xml><?xml version="1.0" encoding="utf-8"?>
<sst xmlns="http://schemas.openxmlformats.org/spreadsheetml/2006/main" count="944" uniqueCount="240">
  <si>
    <t>Three Sisters Kitchen — MENTOR Demo Dataset</t>
  </si>
  <si>
    <t>Facilitator notes: what's embedded in this workbook, and where. For your reference only — not part of the live demo.</t>
  </si>
  <si>
    <t>Company</t>
  </si>
  <si>
    <t>Three Sisters Kitchen — 3-site independent hospitality chain (Camden, Shoreditch, Greenwich, London). Casual dining + delivery + events. No ERP, runs entirely on Excel.</t>
  </si>
  <si>
    <t>Period covered</t>
  </si>
  <si>
    <t>May, June, July 2026 — three full months, so month-over-month variance is real, not a single snapshot.</t>
  </si>
  <si>
    <t>HARD CASE 1 — Vendor renamed mid-year</t>
  </si>
  <si>
    <t>'Fresh Fields Produce Ltd' (May invoices) becomes 'Fresh Fields Wholesale Ltd' from June onward — same vendor, rebranded. See 'Raw - Supplier Invoices'. MENTOR should recognise these as the same vendor via pattern memory, not two different suppliers.</t>
  </si>
  <si>
    <t>HARD CASE 2 — Duplicate invoice</t>
  </si>
  <si>
    <t>CleanPro Services, Camden, July: invoice INV-CP-507 and INV-CP-0714B are the same charge (£310 net) entered twice. Bank statement shows only ONE matching payment — the giveaway. See 'Raw - Supplier Invoices' (rows for CleanPro, July, Camden) and 'Raw - Bank Statement'.</t>
  </si>
  <si>
    <t>HARD CASE 3 — VAT rate misapplied</t>
  </si>
  <si>
    <t>Metro Drinks Wholesale, Camden, June invoice: alcohol should be standard-rated (20%) but was entered at 0% (the zero-rating that applies to most food, wrongly applied here). A genuine compliance catch, not just a maths error.</t>
  </si>
  <si>
    <t>HARD CASE 4 — Missing invoice</t>
  </si>
  <si>
    <t>Greenwich Linen Co: bank statement shows a payment in June (£410), but there is no matching invoice in 'Raw - Supplier Invoices' for June (invoice exists for May and July only). Real-world missing documentation, not a data error MENTOR can 'fix' — it should flag and ask for the invoice.</t>
  </si>
  <si>
    <t>HARD CASE 5 — Genuine judgment ambiguity: price rise vs wastage</t>
  </si>
  <si>
    <t>Coastal Seafood Direct unit prices rise ~18% from July 1 (one invoice note references a supplier price-increase letter). At the same time, July food cost % rises across all three sites, which could equally reflect wastage from a July heatwave (mentioned informally, not documented anywhere). This is deliberately NOT resolved in the data — the correct MENTOR behaviour is to surface both possibilities and ask the user to confirm, not silently pick one.</t>
  </si>
  <si>
    <t>HARD CASE 6 — Commission rate change buried in net payouts</t>
  </si>
  <si>
    <t>Deliveroo commission rises from 28% (May) to 30% (June onward). Payouts on the bank statement are net of commission, so a naive read makes delivery revenue look like it's falling in June/July when gross sales are actually flat or up. See 'Assumptions' table on the P&amp;L (Answer Key) sheet.</t>
  </si>
  <si>
    <t>HARD CASE 7 — Inconsistent date entry</t>
  </si>
  <si>
    <t>One Deliveroo payout line (Camden, July) was entered with the date as text '14.07.2026' instead of a proper date — a realistic messy-data artefact. See 'Raw - Bank Statement', column 'Date (as entered)' vs 'Date (parsed)'.</t>
  </si>
  <si>
    <t>HARD CASE 8 — Tronc / tips judgment</t>
  </si>
  <si>
    <t>Payroll sheet includes Tronc (tips redistributed to staff) as a line, but it is deliberately EXCLUDED from Payroll Cost in the P&amp;L, since it passes straight through to staff and is not a real cost to the business. Worth narrating to your friends as an example of a judgment call MENTOR should get right, not just sum every column blindly.</t>
  </si>
  <si>
    <t>Scope caveat</t>
  </si>
  <si>
    <t>For manageability, the Raw Data only models the recurring vendor relationships that matter for the demo (produce, seafood, bakery, drinks, cleaning/linen, maintenance, marketing) rather than a full purchase ledger. COGS and Opex will read a little lean against real hospitality benchmarks (typically 28-32% food cost) — worth saying so upfront if your finance friends ask, rather than presenting it as a complete ledger.</t>
  </si>
  <si>
    <t>How to run the demo</t>
  </si>
  <si>
    <t>1) Show 'Raw - Supplier Invoices' and 'Raw - Bank Statement' first — let your friends see how messy real input looks.  2) Open 'Monthly P&amp;L (Demo - Start Here)' — this is blank on purpose. Build it live with MENTOR watching, so they see it notice the header, suggest totals, then flag the hard cases as you go.  3) Reveal 'Monthly P&amp;L (Answer Key)' and 'Variance Analysis' afterwards to show the finished, correct version, including the two cases (5 and 6) that stay flagged rather than silently resolved.</t>
  </si>
  <si>
    <t>Raw Data — Supplier Invoices (May–Jul 2026, unstructured, as received)</t>
  </si>
  <si>
    <t>Invoice ID</t>
  </si>
  <si>
    <t>Site</t>
  </si>
  <si>
    <t>Vendor (as entered)</t>
  </si>
  <si>
    <t>Invoice Date</t>
  </si>
  <si>
    <t>Category</t>
  </si>
  <si>
    <t>Net Amount (£)</t>
  </si>
  <si>
    <t>VAT Rate</t>
  </si>
  <si>
    <t>VAT Amount (£)</t>
  </si>
  <si>
    <t>Gross Amount (£)</t>
  </si>
  <si>
    <t>Payment Status</t>
  </si>
  <si>
    <t>Notes</t>
  </si>
  <si>
    <t>INV-FF-101</t>
  </si>
  <si>
    <t>Camden</t>
  </si>
  <si>
    <t>Fresh Fields Produce Ltd</t>
  </si>
  <si>
    <t>Food</t>
  </si>
  <si>
    <t>Paid</t>
  </si>
  <si>
    <t>INV-CS-201</t>
  </si>
  <si>
    <t>Coastal Seafood Direct</t>
  </si>
  <si>
    <t>INV-MD-301</t>
  </si>
  <si>
    <t>Metro Drinks Wholesale</t>
  </si>
  <si>
    <t>Beverage</t>
  </si>
  <si>
    <t>INV-GC-401</t>
  </si>
  <si>
    <t>Golden Crust Bakery Co</t>
  </si>
  <si>
    <t>INV-CP-501</t>
  </si>
  <si>
    <t>CleanPro Services</t>
  </si>
  <si>
    <t>Cleaning/Supplies</t>
  </si>
  <si>
    <t>INV-FF-102</t>
  </si>
  <si>
    <t>Shoreditch</t>
  </si>
  <si>
    <t>INV-CS-202</t>
  </si>
  <si>
    <t>INV-MD-302</t>
  </si>
  <si>
    <t>INV-GC-402</t>
  </si>
  <si>
    <t>INV-CP-502</t>
  </si>
  <si>
    <t>INV-FF-103</t>
  </si>
  <si>
    <t>Greenwich</t>
  </si>
  <si>
    <t>INV-CS-203</t>
  </si>
  <si>
    <t>INV-MD-303</t>
  </si>
  <si>
    <t>INV-GC-403</t>
  </si>
  <si>
    <t>INV-CP-503</t>
  </si>
  <si>
    <t>INV-FF-104</t>
  </si>
  <si>
    <t>Fresh Fields Wholesale Ltd</t>
  </si>
  <si>
    <t>Vendor rebranded from 'Fresh Fields Produce Ltd' this month — same supplier, new company name</t>
  </si>
  <si>
    <t>INV-CS-204</t>
  </si>
  <si>
    <t>INV-MD-304</t>
  </si>
  <si>
    <t>VAT entered as 0% — alcohol should be standard-rated at 20%. Likely template copy-paste error from a food invoice.</t>
  </si>
  <si>
    <t>INV-GC-404</t>
  </si>
  <si>
    <t>INV-CP-504</t>
  </si>
  <si>
    <t>INV-FF-105</t>
  </si>
  <si>
    <t>INV-CS-205</t>
  </si>
  <si>
    <t>INV-MD-305</t>
  </si>
  <si>
    <t>INV-GC-405</t>
  </si>
  <si>
    <t>INV-CP-505</t>
  </si>
  <si>
    <t>INV-FF-106</t>
  </si>
  <si>
    <t>INV-CS-206</t>
  </si>
  <si>
    <t>INV-MD-306</t>
  </si>
  <si>
    <t>INV-GC-406</t>
  </si>
  <si>
    <t>INV-CP-506</t>
  </si>
  <si>
    <t>INV-FF-107</t>
  </si>
  <si>
    <t>INV-CS-207</t>
  </si>
  <si>
    <t>New unit pricing effective 1 Jul — see supplier price-increase letter</t>
  </si>
  <si>
    <t>INV-MD-307</t>
  </si>
  <si>
    <t>INV-GC-407</t>
  </si>
  <si>
    <t>INV-CP-507</t>
  </si>
  <si>
    <t>INV-CP-0714B</t>
  </si>
  <si>
    <t>Possible duplicate of INV-CP-507 — same date, same amount. Only ONE matching payment appears on the bank statement.</t>
  </si>
  <si>
    <t>INV-FF-108</t>
  </si>
  <si>
    <t>INV-CS-208</t>
  </si>
  <si>
    <t>INV-MD-308</t>
  </si>
  <si>
    <t>INV-GC-408</t>
  </si>
  <si>
    <t>INV-CP-508</t>
  </si>
  <si>
    <t>INV-FF-109</t>
  </si>
  <si>
    <t>INV-CS-209</t>
  </si>
  <si>
    <t>INV-MD-309</t>
  </si>
  <si>
    <t>INV-GC-409</t>
  </si>
  <si>
    <t>INV-CP-509</t>
  </si>
  <si>
    <t>INV-GL-601</t>
  </si>
  <si>
    <t>Greenwich Linen Co</t>
  </si>
  <si>
    <t>INV-GL-602</t>
  </si>
  <si>
    <t>No invoice was filed for June, though the bank shows a payment that month — chase the missing June invoice.</t>
  </si>
  <si>
    <t>INV-PC-701</t>
  </si>
  <si>
    <t>Pest Control Solutions</t>
  </si>
  <si>
    <t>Maintenance</t>
  </si>
  <si>
    <t>Quarterly service — no invoice expected Jun/Jul</t>
  </si>
  <si>
    <t>INV-PC-702</t>
  </si>
  <si>
    <t>INV-PC-703</t>
  </si>
  <si>
    <t>INV-BS-801</t>
  </si>
  <si>
    <t>Bright Spark Marketing</t>
  </si>
  <si>
    <t>Marketing</t>
  </si>
  <si>
    <t>Summer promo campaign — covers all 3 sites, billed centrally through Camden</t>
  </si>
  <si>
    <t>Raw Data — Consolidated Bank Statement (May–Jul 2026, as downloaded)</t>
  </si>
  <si>
    <t>Date (parsed)</t>
  </si>
  <si>
    <t>Date (as entered)</t>
  </si>
  <si>
    <t>Description (as entered)</t>
  </si>
  <si>
    <t>Amount (£)</t>
  </si>
  <si>
    <t>Category (as entered)</t>
  </si>
  <si>
    <t>Matched Invoice ID</t>
  </si>
  <si>
    <t>01/05/2026</t>
  </si>
  <si>
    <t>DD - Landlord Rent May 2026</t>
  </si>
  <si>
    <t>Rent</t>
  </si>
  <si>
    <t>03/05/2026</t>
  </si>
  <si>
    <t>DD - London Gas &amp; Power</t>
  </si>
  <si>
    <t>Utilities</t>
  </si>
  <si>
    <t>10/05/2026</t>
  </si>
  <si>
    <t>PAYMENT - Fresh Fields Produce Ltd</t>
  </si>
  <si>
    <t>Supplier Payment</t>
  </si>
  <si>
    <t>12/05/2026</t>
  </si>
  <si>
    <t>PAYMENT - Coastal Seafood Direct</t>
  </si>
  <si>
    <t>14/05/2026</t>
  </si>
  <si>
    <t>PAYMENT - Golden Crust Bakery Co</t>
  </si>
  <si>
    <t>16/05/2026</t>
  </si>
  <si>
    <t>PAYMENT - Metro Drinks Wholesale</t>
  </si>
  <si>
    <t>18/05/2026</t>
  </si>
  <si>
    <t>PAYMENT - CleanPro Services</t>
  </si>
  <si>
    <t>21/05/2026</t>
  </si>
  <si>
    <t>PAYMENT - Greenwich Linen Co</t>
  </si>
  <si>
    <t>26/05/2026</t>
  </si>
  <si>
    <t>PAYMENT - Pest Control Solutions</t>
  </si>
  <si>
    <t>27/05/2026</t>
  </si>
  <si>
    <t>Deliveroo Payout (net of commission)</t>
  </si>
  <si>
    <t>Delivery Platform Payout</t>
  </si>
  <si>
    <t>UberEats Payout (net of commission)</t>
  </si>
  <si>
    <t>JustEat Payout (net of commission)</t>
  </si>
  <si>
    <t>28/05/2026</t>
  </si>
  <si>
    <t>Payroll BACS Transfer</t>
  </si>
  <si>
    <t>Payroll</t>
  </si>
  <si>
    <t>01/06/2026</t>
  </si>
  <si>
    <t>DD - Landlord Rent Jun 2026</t>
  </si>
  <si>
    <t>03/06/2026</t>
  </si>
  <si>
    <t>10/06/2026</t>
  </si>
  <si>
    <t>PAYMENT - Fresh Fields Wholesale Ltd</t>
  </si>
  <si>
    <t>12/06/2026</t>
  </si>
  <si>
    <t>14/06/2026</t>
  </si>
  <si>
    <t>16/06/2026</t>
  </si>
  <si>
    <t>18/06/2026</t>
  </si>
  <si>
    <t>21/06/2026</t>
  </si>
  <si>
    <t>No matching invoice found in Supplier Invoices for June — flagged for follow-up</t>
  </si>
  <si>
    <t>24/06/2026</t>
  </si>
  <si>
    <t>PAYMENT - Bright Spark Marketing</t>
  </si>
  <si>
    <t>27/06/2026</t>
  </si>
  <si>
    <t>28/06/2026</t>
  </si>
  <si>
    <t>01/07/2026</t>
  </si>
  <si>
    <t>DD - Landlord Rent Jul 2026</t>
  </si>
  <si>
    <t>03/07/2026</t>
  </si>
  <si>
    <t>10/07/2026</t>
  </si>
  <si>
    <t>12/07/2026</t>
  </si>
  <si>
    <t>14/07/2026</t>
  </si>
  <si>
    <t>16/07/2026</t>
  </si>
  <si>
    <t>18/07/2026</t>
  </si>
  <si>
    <t>21/07/2026</t>
  </si>
  <si>
    <t>14.07.2026</t>
  </si>
  <si>
    <t>Date entered in DD.MM.YYYY text format rather than a proper date — parsed column alongside shows the corrected value</t>
  </si>
  <si>
    <t>27/07/2026</t>
  </si>
  <si>
    <t>28/07/2026</t>
  </si>
  <si>
    <t>Raw Data — POS Sales Report, consolidated monthly by site (May–Jul 2026)</t>
  </si>
  <si>
    <t>Month</t>
  </si>
  <si>
    <t>Dine-In (£)</t>
  </si>
  <si>
    <t>Takeaway (£)</t>
  </si>
  <si>
    <t>Delivery - Deliveroo Gross (£)</t>
  </si>
  <si>
    <t>Delivery - UberEats Gross (£)</t>
  </si>
  <si>
    <t>Delivery - JustEat Gross (£)</t>
  </si>
  <si>
    <t>Events/Catering (£)</t>
  </si>
  <si>
    <t>Total Sales (£)</t>
  </si>
  <si>
    <t>May 2026</t>
  </si>
  <si>
    <t>Jun 2026</t>
  </si>
  <si>
    <t>Jul 2026</t>
  </si>
  <si>
    <t>Raw Data — Payroll Summary by site (May–Jul 2026)</t>
  </si>
  <si>
    <t>Basic Wages (£)</t>
  </si>
  <si>
    <t>Overtime (£)</t>
  </si>
  <si>
    <t>Tronc/Tips Distributed (£)</t>
  </si>
  <si>
    <t>Employer NI (£)</t>
  </si>
  <si>
    <t>Pension Contribution (£)</t>
  </si>
  <si>
    <t>Total Payroll Outgoing (£)</t>
  </si>
  <si>
    <t>Note: Tronc/Tips are fully redistributed to staff and are excluded from Payroll Cost in the P&amp;L — they are a pass-through, not a real cost to the business.</t>
  </si>
  <si>
    <t>Three Sisters Kitchen — Monthly Report</t>
  </si>
  <si>
    <t>Line Item</t>
  </si>
  <si>
    <t>Revenue</t>
  </si>
  <si>
    <t>Dine-In</t>
  </si>
  <si>
    <t>Takeaway</t>
  </si>
  <si>
    <t>Delivery Revenue (net of commission)</t>
  </si>
  <si>
    <t>Events / Catering</t>
  </si>
  <si>
    <t>Total Revenue</t>
  </si>
  <si>
    <t>Cost of Goods Sold (COGS)</t>
  </si>
  <si>
    <t>Food Cost</t>
  </si>
  <si>
    <t>Beverage Cost</t>
  </si>
  <si>
    <t>Total COGS</t>
  </si>
  <si>
    <t>Gross Profit</t>
  </si>
  <si>
    <t>Operating Expenses</t>
  </si>
  <si>
    <t>Payroll Cost (excl. Tronc)</t>
  </si>
  <si>
    <t>Other Opex (Cleaning, Maintenance, Marketing)</t>
  </si>
  <si>
    <t>Total Operating Expenses</t>
  </si>
  <si>
    <t>EBITDA</t>
  </si>
  <si>
    <t>Three Sisters Kitchen — Monthly P&amp;L (Answer Key, consolidated across all 3 sites)</t>
  </si>
  <si>
    <t>Built entirely with formulas from the four Raw Data sheets — nothing hardcoded except the commission-rate assumptions below.</t>
  </si>
  <si>
    <t>Assumptions — Delivery Platform Commission Rates</t>
  </si>
  <si>
    <t>Platform</t>
  </si>
  <si>
    <t>Deliveroo</t>
  </si>
  <si>
    <t>UberEats</t>
  </si>
  <si>
    <t>JustEat</t>
  </si>
  <si>
    <t>Note: Deliveroo commission rose from 28% to 30% starting June — buried inside the net payout figure on the bank statement.</t>
  </si>
  <si>
    <t>Variance Analysis — Month over Month (references Monthly P&amp;L Answer Key)</t>
  </si>
  <si>
    <t>Flag = TRUE where the movement is &gt;10% — a reasonable first-pass threshold for what deserves a look, not a hard rule.</t>
  </si>
  <si>
    <t>Jun vs May (£)</t>
  </si>
  <si>
    <t>Jun vs May (%)</t>
  </si>
  <si>
    <t>Jul vs Jun (£)</t>
  </si>
  <si>
    <t>Jul vs Jun (%)</t>
  </si>
  <si>
    <t>Flag (&gt;10%)</t>
  </si>
  <si>
    <t>Explanation</t>
  </si>
  <si>
    <t>Deliveroo commission rose from 28% to 30% from June — net delivery revenue understates gross platform sales growth. Check gross Deliveroo sales in the POS sheet before concluding delivery demand fell.</t>
  </si>
  <si>
    <t>Jul rise reflects a confirmed ~18% Coastal Seafood price increase (see supplier letter, Raw - Supplier Invoices) — but a July heatwave may also have driven wastage. Both are plausible; not resolved here on purpose. Confirm with site managers before booking as a pure supplier-price effect.</t>
  </si>
  <si>
    <t>Camden's June Metro Drinks invoice had VAT misapplied at 0% instead of 20% — net cost line is unaffected, but the VAT return for that period will be wrong until corrected.</t>
  </si>
  <si>
    <t>July overtime rises ~30% across all sites — consistent with summer trading volume, not a one-off anomaly.</t>
  </si>
  <si>
    <t>Flat by design — no change expected month to month.</t>
  </si>
  <si>
    <t>July rise driven by air conditioning load during the summer heatwave — same heatwave referenced in the Food Cost note above.</t>
  </si>
  <si>
    <t>June includes a one-off £600 summer marketing campaign, billed centrally through Camden.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</si>
</sst>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quot;(£&quot;#,##0.00\)"/>
    <numFmt numFmtId="166" formatCode="0.0%"/>
  </numFmts>
  <fonts count="10" x14ac:knownFonts="1">
    <font>
      <sz val="11"/>
      <color theme="1"/>
      <name val="Calibri"/>
      <family val="2"/>
      <charset val="1"/>
    </font>
    <font>
      <b/>
      <sz val="14"/>
      <color rgb="FF1F2937"/>
      <name val="Arial"/>
      <charset val="1"/>
    </font>
    <font>
      <i/>
      <sz val="10"/>
      <color rgb="FF6B7280"/>
      <name val="Arial"/>
      <charset val="1"/>
    </font>
    <font>
      <b/>
      <sz val="10"/>
      <color rgb="FF1F2937"/>
      <name val="Arial"/>
      <charset val="1"/>
    </font>
    <font>
      <sz val="10"/>
      <name val="Arial"/>
      <charset val="1"/>
    </font>
    <font>
      <b/>
      <sz val="10"/>
      <color rgb="FFFFFFFF"/>
      <name val="Arial"/>
      <charset val="1"/>
    </font>
    <font>
      <i/>
      <sz val="9"/>
      <color rgb="FF6B7280"/>
      <name val="Arial"/>
      <charset val="1"/>
    </font>
    <font>
      <b/>
      <sz val="11"/>
      <name val="Arial"/>
      <charset val="1"/>
    </font>
    <font>
      <sz val="10"/>
      <color rgb="FF0000FF"/>
      <name val="Arial"/>
      <charset val="1"/>
    </font>
    <font>
      <b/>
      <sz val="10"/>
      <name val="Arial"/>
      <charset val="1"/>
    </font>
  </fonts>
  <fills count="4">
    <fill>
      <patternFill patternType="none"/>
    </fill>
    <fill>
      <patternFill patternType="gray125"/>
    </fill>
    <fill>
      <patternFill patternType="solid">
        <fgColor rgb="FF1F2937"/>
        <bgColor rgb="FF333300"/>
      </patternFill>
    </fill>
    <fill>
      <patternFill patternType="solid">
        <fgColor rgb="FFE5E7EB"/>
        <bgColor rgb="FFD1D5DB"/>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21">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5" fillId="2" borderId="1" xfId="0" applyFont="1" applyFill="1" applyBorder="1" applyAlignment="1">
      <alignment horizontal="center" vertical="center" wrapText="1"/>
    </xf>
    <xf numFmtId="0" fontId="4" fillId="0" borderId="1" xfId="0" applyFont="1" applyBorder="1"/>
    <xf numFmtId="14" fontId="4" fillId="0" borderId="1" xfId="0" applyNumberFormat="1" applyFont="1" applyBorder="1"/>
    <xf numFmtId="164" fontId="4" fillId="0" borderId="1" xfId="0" applyNumberFormat="1" applyFont="1" applyBorder="1"/>
    <xf numFmtId="9" fontId="4" fillId="0" borderId="1" xfId="0" applyNumberFormat="1" applyFont="1" applyBorder="1"/>
    <xf numFmtId="165" fontId="4" fillId="0" borderId="1" xfId="0" applyNumberFormat="1" applyFont="1" applyBorder="1"/>
    <xf numFmtId="0" fontId="6" fillId="0" borderId="0" xfId="0" applyFont="1"/>
    <xf numFmtId="0" fontId="7" fillId="3" borderId="0" xfId="0" applyFont="1" applyFill="1"/>
    <xf numFmtId="0" fontId="0" fillId="3" borderId="0" xfId="0" applyFill="1"/>
    <xf numFmtId="0" fontId="0" fillId="0" borderId="1" xfId="0" applyBorder="1"/>
    <xf numFmtId="0" fontId="7" fillId="0" borderId="0" xfId="0" applyFont="1"/>
    <xf numFmtId="9" fontId="8" fillId="0" borderId="1" xfId="0" applyNumberFormat="1" applyFont="1" applyBorder="1"/>
    <xf numFmtId="0" fontId="9" fillId="0" borderId="1" xfId="0" applyFont="1" applyBorder="1"/>
    <xf numFmtId="164" fontId="9" fillId="0" borderId="1" xfId="0" applyNumberFormat="1" applyFont="1" applyBorder="1"/>
    <xf numFmtId="166" fontId="4" fillId="0" borderId="1" xfId="0" applyNumberFormat="1" applyFont="1" applyBorder="1"/>
    <xf numFmtId="0" fontId="4" fillId="0" borderId="1"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5E7EB"/>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98B3810-9992-41F1-BF34-75C8672EC8F0}">
  <we:reference id="d542bd16-bfae-4cd4-9566-139d5289bbbe" version="1.0.0.0" store="developer" storeType="Registry"/>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8"/>
  <sheetViews>
    <sheetView showGridLines="0" zoomScaleNormal="100" workbookViewId="0">
      <selection activeCell="C18" sqref="C18"/>
    </sheetView>
  </sheetViews>
  <sheetFormatPr defaultColWidth="8.6640625" defaultRowHeight="14.4" x14ac:dyDescent="0.3"/>
  <cols>
    <col min="1" max="1" width="3" customWidth="1"/>
    <col min="2" max="2" width="30" customWidth="1"/>
    <col min="3" max="3" width="100" customWidth="1"/>
  </cols>
  <sheetData>
    <row r="2" spans="2:3" ht="17.399999999999999" x14ac:dyDescent="0.3">
      <c r="B2" s="1" t="s">
        <v>0</v>
      </c>
    </row>
    <row r="3" spans="2:3" x14ac:dyDescent="0.3">
      <c r="B3" s="2" t="s">
        <v>1</v>
      </c>
    </row>
    <row r="5" spans="2:3" ht="45" customHeight="1" x14ac:dyDescent="0.3">
      <c r="B5" s="3" t="s">
        <v>2</v>
      </c>
      <c r="C5" s="4" t="s">
        <v>3</v>
      </c>
    </row>
    <row r="6" spans="2:3" ht="45" customHeight="1" x14ac:dyDescent="0.3">
      <c r="B6" s="3" t="s">
        <v>4</v>
      </c>
      <c r="C6" s="4" t="s">
        <v>5</v>
      </c>
    </row>
    <row r="8" spans="2:3" ht="45" customHeight="1" x14ac:dyDescent="0.3">
      <c r="B8" s="3" t="s">
        <v>6</v>
      </c>
      <c r="C8" s="4" t="s">
        <v>7</v>
      </c>
    </row>
    <row r="9" spans="2:3" ht="45" customHeight="1" x14ac:dyDescent="0.3">
      <c r="B9" s="3" t="s">
        <v>8</v>
      </c>
      <c r="C9" s="4" t="s">
        <v>9</v>
      </c>
    </row>
    <row r="10" spans="2:3" ht="45" customHeight="1" x14ac:dyDescent="0.3">
      <c r="B10" s="3" t="s">
        <v>10</v>
      </c>
      <c r="C10" s="4" t="s">
        <v>11</v>
      </c>
    </row>
    <row r="11" spans="2:3" ht="45" customHeight="1" x14ac:dyDescent="0.3">
      <c r="B11" s="3" t="s">
        <v>12</v>
      </c>
      <c r="C11" s="4" t="s">
        <v>13</v>
      </c>
    </row>
    <row r="12" spans="2:3" ht="45" customHeight="1" x14ac:dyDescent="0.3">
      <c r="B12" s="3" t="s">
        <v>14</v>
      </c>
      <c r="C12" s="4" t="s">
        <v>15</v>
      </c>
    </row>
    <row r="13" spans="2:3" ht="45" customHeight="1" x14ac:dyDescent="0.3">
      <c r="B13" s="3" t="s">
        <v>16</v>
      </c>
      <c r="C13" s="4" t="s">
        <v>17</v>
      </c>
    </row>
    <row r="14" spans="2:3" ht="45" customHeight="1" x14ac:dyDescent="0.3">
      <c r="B14" s="3" t="s">
        <v>18</v>
      </c>
      <c r="C14" s="4" t="s">
        <v>19</v>
      </c>
    </row>
    <row r="15" spans="2:3" ht="45" customHeight="1" x14ac:dyDescent="0.3">
      <c r="B15" s="3" t="s">
        <v>20</v>
      </c>
      <c r="C15" s="4" t="s">
        <v>21</v>
      </c>
    </row>
    <row r="16" spans="2:3" ht="45" customHeight="1" x14ac:dyDescent="0.3">
      <c r="B16" s="3" t="s">
        <v>22</v>
      </c>
      <c r="C16" s="4" t="s">
        <v>23</v>
      </c>
    </row>
    <row r="18" spans="2:3" ht="45" customHeight="1" x14ac:dyDescent="0.3">
      <c r="B18" s="3" t="s">
        <v>24</v>
      </c>
      <c r="C18" s="4" t="s">
        <v>25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5"/>
  <sheetViews>
    <sheetView showGridLines="0" zoomScaleNormal="100" workbookViewId="0">
      <pane ySplit="3" topLeftCell="A4" activePane="bottomLeft" state="frozen"/>
      <selection pane="bottomLeft" activeCell="D24" sqref="D24"/>
    </sheetView>
  </sheetViews>
  <sheetFormatPr defaultColWidth="8.6640625" defaultRowHeight="14.4" x14ac:dyDescent="0.3"/>
  <cols>
    <col min="1" max="1" width="13" customWidth="1"/>
    <col min="2" max="2" width="12" customWidth="1"/>
    <col min="3" max="3" width="26" customWidth="1"/>
    <col min="4" max="4" width="12" customWidth="1"/>
    <col min="5" max="5" width="16" customWidth="1"/>
    <col min="6" max="6" width="13" customWidth="1"/>
    <col min="7" max="7" width="9" customWidth="1"/>
    <col min="8" max="10" width="13" customWidth="1"/>
    <col min="11" max="11" width="55" customWidth="1"/>
  </cols>
  <sheetData>
    <row r="1" spans="1:11" ht="17.399999999999999" x14ac:dyDescent="0.3">
      <c r="A1" s="1" t="s">
        <v>26</v>
      </c>
    </row>
    <row r="3" spans="1:11" ht="26.4" x14ac:dyDescent="0.3">
      <c r="A3" s="5" t="s">
        <v>27</v>
      </c>
      <c r="B3" s="5" t="s">
        <v>28</v>
      </c>
      <c r="C3" s="5" t="s">
        <v>29</v>
      </c>
      <c r="D3" s="5" t="s">
        <v>30</v>
      </c>
      <c r="E3" s="5" t="s">
        <v>31</v>
      </c>
      <c r="F3" s="5" t="s">
        <v>32</v>
      </c>
      <c r="G3" s="5" t="s">
        <v>33</v>
      </c>
      <c r="H3" s="5" t="s">
        <v>34</v>
      </c>
      <c r="I3" s="5" t="s">
        <v>35</v>
      </c>
      <c r="J3" s="5" t="s">
        <v>36</v>
      </c>
      <c r="K3" s="5" t="s">
        <v>37</v>
      </c>
    </row>
    <row r="4" spans="1:11" x14ac:dyDescent="0.3">
      <c r="A4" s="6" t="s">
        <v>38</v>
      </c>
      <c r="B4" s="6" t="s">
        <v>39</v>
      </c>
      <c r="C4" s="6" t="s">
        <v>40</v>
      </c>
      <c r="D4" s="7">
        <v>46146</v>
      </c>
      <c r="E4" s="6" t="s">
        <v>41</v>
      </c>
      <c r="F4" s="8">
        <v>1350</v>
      </c>
      <c r="G4" s="9">
        <v>0</v>
      </c>
      <c r="H4" s="8">
        <f t="shared" ref="H4:H35" si="0">F4*G4</f>
        <v>0</v>
      </c>
      <c r="I4" s="8">
        <f t="shared" ref="I4:I35" si="1">F4*(1+G4)</f>
        <v>1350</v>
      </c>
      <c r="J4" s="6" t="s">
        <v>42</v>
      </c>
      <c r="K4" s="6"/>
    </row>
    <row r="5" spans="1:11" x14ac:dyDescent="0.3">
      <c r="A5" s="6" t="s">
        <v>43</v>
      </c>
      <c r="B5" s="6" t="s">
        <v>39</v>
      </c>
      <c r="C5" s="6" t="s">
        <v>44</v>
      </c>
      <c r="D5" s="7">
        <v>46148</v>
      </c>
      <c r="E5" s="6" t="s">
        <v>41</v>
      </c>
      <c r="F5" s="8">
        <v>1750</v>
      </c>
      <c r="G5" s="9">
        <v>0</v>
      </c>
      <c r="H5" s="8">
        <f t="shared" si="0"/>
        <v>0</v>
      </c>
      <c r="I5" s="8">
        <f t="shared" si="1"/>
        <v>1750</v>
      </c>
      <c r="J5" s="6" t="s">
        <v>42</v>
      </c>
      <c r="K5" s="6"/>
    </row>
    <row r="6" spans="1:11" x14ac:dyDescent="0.3">
      <c r="A6" s="6" t="s">
        <v>45</v>
      </c>
      <c r="B6" s="6" t="s">
        <v>39</v>
      </c>
      <c r="C6" s="6" t="s">
        <v>46</v>
      </c>
      <c r="D6" s="7">
        <v>46152</v>
      </c>
      <c r="E6" s="6" t="s">
        <v>47</v>
      </c>
      <c r="F6" s="8">
        <v>900</v>
      </c>
      <c r="G6" s="9">
        <v>0.2</v>
      </c>
      <c r="H6" s="8">
        <f t="shared" si="0"/>
        <v>180</v>
      </c>
      <c r="I6" s="8">
        <f t="shared" si="1"/>
        <v>1080</v>
      </c>
      <c r="J6" s="6" t="s">
        <v>42</v>
      </c>
      <c r="K6" s="6"/>
    </row>
    <row r="7" spans="1:11" x14ac:dyDescent="0.3">
      <c r="A7" s="6" t="s">
        <v>48</v>
      </c>
      <c r="B7" s="6" t="s">
        <v>39</v>
      </c>
      <c r="C7" s="6" t="s">
        <v>49</v>
      </c>
      <c r="D7" s="7">
        <v>46150</v>
      </c>
      <c r="E7" s="6" t="s">
        <v>41</v>
      </c>
      <c r="F7" s="8">
        <v>390</v>
      </c>
      <c r="G7" s="9">
        <v>0</v>
      </c>
      <c r="H7" s="8">
        <f t="shared" si="0"/>
        <v>0</v>
      </c>
      <c r="I7" s="8">
        <f t="shared" si="1"/>
        <v>390</v>
      </c>
      <c r="J7" s="6" t="s">
        <v>42</v>
      </c>
      <c r="K7" s="6"/>
    </row>
    <row r="8" spans="1:11" x14ac:dyDescent="0.3">
      <c r="A8" s="6" t="s">
        <v>50</v>
      </c>
      <c r="B8" s="6" t="s">
        <v>39</v>
      </c>
      <c r="C8" s="6" t="s">
        <v>51</v>
      </c>
      <c r="D8" s="7">
        <v>46154</v>
      </c>
      <c r="E8" s="6" t="s">
        <v>52</v>
      </c>
      <c r="F8" s="8">
        <v>310</v>
      </c>
      <c r="G8" s="9">
        <v>0.2</v>
      </c>
      <c r="H8" s="8">
        <f t="shared" si="0"/>
        <v>62</v>
      </c>
      <c r="I8" s="8">
        <f t="shared" si="1"/>
        <v>372</v>
      </c>
      <c r="J8" s="6" t="s">
        <v>42</v>
      </c>
      <c r="K8" s="6"/>
    </row>
    <row r="9" spans="1:11" x14ac:dyDescent="0.3">
      <c r="A9" s="6" t="s">
        <v>53</v>
      </c>
      <c r="B9" s="6" t="s">
        <v>54</v>
      </c>
      <c r="C9" s="6" t="s">
        <v>40</v>
      </c>
      <c r="D9" s="7">
        <v>46146</v>
      </c>
      <c r="E9" s="6" t="s">
        <v>41</v>
      </c>
      <c r="F9" s="8">
        <v>1260</v>
      </c>
      <c r="G9" s="9">
        <v>0</v>
      </c>
      <c r="H9" s="8">
        <f t="shared" si="0"/>
        <v>0</v>
      </c>
      <c r="I9" s="8">
        <f t="shared" si="1"/>
        <v>1260</v>
      </c>
      <c r="J9" s="6" t="s">
        <v>42</v>
      </c>
      <c r="K9" s="6"/>
    </row>
    <row r="10" spans="1:11" x14ac:dyDescent="0.3">
      <c r="A10" s="6" t="s">
        <v>55</v>
      </c>
      <c r="B10" s="6" t="s">
        <v>54</v>
      </c>
      <c r="C10" s="6" t="s">
        <v>44</v>
      </c>
      <c r="D10" s="7">
        <v>46148</v>
      </c>
      <c r="E10" s="6" t="s">
        <v>41</v>
      </c>
      <c r="F10" s="8">
        <v>1595</v>
      </c>
      <c r="G10" s="9">
        <v>0</v>
      </c>
      <c r="H10" s="8">
        <f t="shared" si="0"/>
        <v>0</v>
      </c>
      <c r="I10" s="8">
        <f t="shared" si="1"/>
        <v>1595</v>
      </c>
      <c r="J10" s="6" t="s">
        <v>42</v>
      </c>
      <c r="K10" s="6"/>
    </row>
    <row r="11" spans="1:11" x14ac:dyDescent="0.3">
      <c r="A11" s="6" t="s">
        <v>56</v>
      </c>
      <c r="B11" s="6" t="s">
        <v>54</v>
      </c>
      <c r="C11" s="6" t="s">
        <v>46</v>
      </c>
      <c r="D11" s="7">
        <v>46152</v>
      </c>
      <c r="E11" s="6" t="s">
        <v>47</v>
      </c>
      <c r="F11" s="8">
        <v>840</v>
      </c>
      <c r="G11" s="9">
        <v>0.2</v>
      </c>
      <c r="H11" s="8">
        <f t="shared" si="0"/>
        <v>168</v>
      </c>
      <c r="I11" s="8">
        <f t="shared" si="1"/>
        <v>1008</v>
      </c>
      <c r="J11" s="6" t="s">
        <v>42</v>
      </c>
      <c r="K11" s="6"/>
    </row>
    <row r="12" spans="1:11" x14ac:dyDescent="0.3">
      <c r="A12" s="6" t="s">
        <v>57</v>
      </c>
      <c r="B12" s="6" t="s">
        <v>54</v>
      </c>
      <c r="C12" s="6" t="s">
        <v>49</v>
      </c>
      <c r="D12" s="7">
        <v>46150</v>
      </c>
      <c r="E12" s="6" t="s">
        <v>41</v>
      </c>
      <c r="F12" s="8">
        <v>360</v>
      </c>
      <c r="G12" s="9">
        <v>0</v>
      </c>
      <c r="H12" s="8">
        <f t="shared" si="0"/>
        <v>0</v>
      </c>
      <c r="I12" s="8">
        <f t="shared" si="1"/>
        <v>360</v>
      </c>
      <c r="J12" s="6" t="s">
        <v>42</v>
      </c>
      <c r="K12" s="6"/>
    </row>
    <row r="13" spans="1:11" x14ac:dyDescent="0.3">
      <c r="A13" s="6" t="s">
        <v>58</v>
      </c>
      <c r="B13" s="6" t="s">
        <v>54</v>
      </c>
      <c r="C13" s="6" t="s">
        <v>51</v>
      </c>
      <c r="D13" s="7">
        <v>46154</v>
      </c>
      <c r="E13" s="6" t="s">
        <v>52</v>
      </c>
      <c r="F13" s="8">
        <v>295</v>
      </c>
      <c r="G13" s="9">
        <v>0.2</v>
      </c>
      <c r="H13" s="8">
        <f t="shared" si="0"/>
        <v>59</v>
      </c>
      <c r="I13" s="8">
        <f t="shared" si="1"/>
        <v>354</v>
      </c>
      <c r="J13" s="6" t="s">
        <v>42</v>
      </c>
      <c r="K13" s="6"/>
    </row>
    <row r="14" spans="1:11" x14ac:dyDescent="0.3">
      <c r="A14" s="6" t="s">
        <v>59</v>
      </c>
      <c r="B14" s="6" t="s">
        <v>60</v>
      </c>
      <c r="C14" s="6" t="s">
        <v>40</v>
      </c>
      <c r="D14" s="7">
        <v>46146</v>
      </c>
      <c r="E14" s="6" t="s">
        <v>41</v>
      </c>
      <c r="F14" s="8">
        <v>1175</v>
      </c>
      <c r="G14" s="9">
        <v>0</v>
      </c>
      <c r="H14" s="8">
        <f t="shared" si="0"/>
        <v>0</v>
      </c>
      <c r="I14" s="8">
        <f t="shared" si="1"/>
        <v>1175</v>
      </c>
      <c r="J14" s="6" t="s">
        <v>42</v>
      </c>
      <c r="K14" s="6"/>
    </row>
    <row r="15" spans="1:11" x14ac:dyDescent="0.3">
      <c r="A15" s="6" t="s">
        <v>61</v>
      </c>
      <c r="B15" s="6" t="s">
        <v>60</v>
      </c>
      <c r="C15" s="6" t="s">
        <v>44</v>
      </c>
      <c r="D15" s="7">
        <v>46148</v>
      </c>
      <c r="E15" s="6" t="s">
        <v>41</v>
      </c>
      <c r="F15" s="8">
        <v>1550</v>
      </c>
      <c r="G15" s="9">
        <v>0</v>
      </c>
      <c r="H15" s="8">
        <f t="shared" si="0"/>
        <v>0</v>
      </c>
      <c r="I15" s="8">
        <f t="shared" si="1"/>
        <v>1550</v>
      </c>
      <c r="J15" s="6" t="s">
        <v>42</v>
      </c>
      <c r="K15" s="6"/>
    </row>
    <row r="16" spans="1:11" x14ac:dyDescent="0.3">
      <c r="A16" s="6" t="s">
        <v>62</v>
      </c>
      <c r="B16" s="6" t="s">
        <v>60</v>
      </c>
      <c r="C16" s="6" t="s">
        <v>46</v>
      </c>
      <c r="D16" s="7">
        <v>46152</v>
      </c>
      <c r="E16" s="6" t="s">
        <v>47</v>
      </c>
      <c r="F16" s="8">
        <v>760</v>
      </c>
      <c r="G16" s="9">
        <v>0.2</v>
      </c>
      <c r="H16" s="8">
        <f t="shared" si="0"/>
        <v>152</v>
      </c>
      <c r="I16" s="8">
        <f t="shared" si="1"/>
        <v>912</v>
      </c>
      <c r="J16" s="6" t="s">
        <v>42</v>
      </c>
      <c r="K16" s="6"/>
    </row>
    <row r="17" spans="1:11" x14ac:dyDescent="0.3">
      <c r="A17" s="6" t="s">
        <v>63</v>
      </c>
      <c r="B17" s="6" t="s">
        <v>60</v>
      </c>
      <c r="C17" s="6" t="s">
        <v>49</v>
      </c>
      <c r="D17" s="7">
        <v>46150</v>
      </c>
      <c r="E17" s="6" t="s">
        <v>41</v>
      </c>
      <c r="F17" s="8">
        <v>330</v>
      </c>
      <c r="G17" s="9">
        <v>0</v>
      </c>
      <c r="H17" s="8">
        <f t="shared" si="0"/>
        <v>0</v>
      </c>
      <c r="I17" s="8">
        <f t="shared" si="1"/>
        <v>330</v>
      </c>
      <c r="J17" s="6" t="s">
        <v>42</v>
      </c>
      <c r="K17" s="6"/>
    </row>
    <row r="18" spans="1:11" x14ac:dyDescent="0.3">
      <c r="A18" s="6" t="s">
        <v>64</v>
      </c>
      <c r="B18" s="6" t="s">
        <v>60</v>
      </c>
      <c r="C18" s="6" t="s">
        <v>51</v>
      </c>
      <c r="D18" s="7">
        <v>46154</v>
      </c>
      <c r="E18" s="6" t="s">
        <v>52</v>
      </c>
      <c r="F18" s="8">
        <v>280</v>
      </c>
      <c r="G18" s="9">
        <v>0.2</v>
      </c>
      <c r="H18" s="8">
        <f t="shared" si="0"/>
        <v>56</v>
      </c>
      <c r="I18" s="8">
        <f t="shared" si="1"/>
        <v>336</v>
      </c>
      <c r="J18" s="6" t="s">
        <v>42</v>
      </c>
      <c r="K18" s="6"/>
    </row>
    <row r="19" spans="1:11" x14ac:dyDescent="0.3">
      <c r="A19" s="6" t="s">
        <v>65</v>
      </c>
      <c r="B19" s="6" t="s">
        <v>39</v>
      </c>
      <c r="C19" s="6" t="s">
        <v>66</v>
      </c>
      <c r="D19" s="7">
        <v>46177</v>
      </c>
      <c r="E19" s="6" t="s">
        <v>41</v>
      </c>
      <c r="F19" s="8">
        <v>1377</v>
      </c>
      <c r="G19" s="9">
        <v>0</v>
      </c>
      <c r="H19" s="8">
        <f t="shared" si="0"/>
        <v>0</v>
      </c>
      <c r="I19" s="8">
        <f t="shared" si="1"/>
        <v>1377</v>
      </c>
      <c r="J19" s="6" t="s">
        <v>42</v>
      </c>
      <c r="K19" s="6" t="s">
        <v>67</v>
      </c>
    </row>
    <row r="20" spans="1:11" x14ac:dyDescent="0.3">
      <c r="A20" s="6" t="s">
        <v>68</v>
      </c>
      <c r="B20" s="6" t="s">
        <v>39</v>
      </c>
      <c r="C20" s="6" t="s">
        <v>44</v>
      </c>
      <c r="D20" s="7">
        <v>46179</v>
      </c>
      <c r="E20" s="6" t="s">
        <v>41</v>
      </c>
      <c r="F20" s="8">
        <v>1767.5</v>
      </c>
      <c r="G20" s="9">
        <v>0</v>
      </c>
      <c r="H20" s="8">
        <f t="shared" si="0"/>
        <v>0</v>
      </c>
      <c r="I20" s="8">
        <f t="shared" si="1"/>
        <v>1767.5</v>
      </c>
      <c r="J20" s="6" t="s">
        <v>42</v>
      </c>
      <c r="K20" s="6"/>
    </row>
    <row r="21" spans="1:11" x14ac:dyDescent="0.3">
      <c r="A21" s="6" t="s">
        <v>69</v>
      </c>
      <c r="B21" s="6" t="s">
        <v>39</v>
      </c>
      <c r="C21" s="6" t="s">
        <v>46</v>
      </c>
      <c r="D21" s="7">
        <v>46183</v>
      </c>
      <c r="E21" s="6" t="s">
        <v>47</v>
      </c>
      <c r="F21" s="8">
        <v>900</v>
      </c>
      <c r="G21" s="9">
        <v>0</v>
      </c>
      <c r="H21" s="8">
        <f t="shared" si="0"/>
        <v>0</v>
      </c>
      <c r="I21" s="8">
        <f t="shared" si="1"/>
        <v>900</v>
      </c>
      <c r="J21" s="6" t="s">
        <v>42</v>
      </c>
      <c r="K21" s="6" t="s">
        <v>70</v>
      </c>
    </row>
    <row r="22" spans="1:11" x14ac:dyDescent="0.3">
      <c r="A22" s="6" t="s">
        <v>71</v>
      </c>
      <c r="B22" s="6" t="s">
        <v>39</v>
      </c>
      <c r="C22" s="6" t="s">
        <v>49</v>
      </c>
      <c r="D22" s="7">
        <v>46181</v>
      </c>
      <c r="E22" s="6" t="s">
        <v>41</v>
      </c>
      <c r="F22" s="8">
        <v>397.8</v>
      </c>
      <c r="G22" s="9">
        <v>0</v>
      </c>
      <c r="H22" s="8">
        <f t="shared" si="0"/>
        <v>0</v>
      </c>
      <c r="I22" s="8">
        <f t="shared" si="1"/>
        <v>397.8</v>
      </c>
      <c r="J22" s="6" t="s">
        <v>42</v>
      </c>
      <c r="K22" s="6"/>
    </row>
    <row r="23" spans="1:11" x14ac:dyDescent="0.3">
      <c r="A23" s="6" t="s">
        <v>72</v>
      </c>
      <c r="B23" s="6" t="s">
        <v>39</v>
      </c>
      <c r="C23" s="6" t="s">
        <v>51</v>
      </c>
      <c r="D23" s="7">
        <v>46185</v>
      </c>
      <c r="E23" s="6" t="s">
        <v>52</v>
      </c>
      <c r="F23" s="8">
        <v>310</v>
      </c>
      <c r="G23" s="9">
        <v>0.2</v>
      </c>
      <c r="H23" s="8">
        <f t="shared" si="0"/>
        <v>62</v>
      </c>
      <c r="I23" s="8">
        <f t="shared" si="1"/>
        <v>372</v>
      </c>
      <c r="J23" s="6" t="s">
        <v>42</v>
      </c>
      <c r="K23" s="6"/>
    </row>
    <row r="24" spans="1:11" x14ac:dyDescent="0.3">
      <c r="A24" s="6" t="s">
        <v>73</v>
      </c>
      <c r="B24" s="6" t="s">
        <v>54</v>
      </c>
      <c r="C24" s="6" t="s">
        <v>66</v>
      </c>
      <c r="D24" s="7">
        <v>46177</v>
      </c>
      <c r="E24" s="6" t="s">
        <v>41</v>
      </c>
      <c r="F24" s="8">
        <v>1285.2</v>
      </c>
      <c r="G24" s="9">
        <v>0</v>
      </c>
      <c r="H24" s="8">
        <f t="shared" si="0"/>
        <v>0</v>
      </c>
      <c r="I24" s="8">
        <f t="shared" si="1"/>
        <v>1285.2</v>
      </c>
      <c r="J24" s="6" t="s">
        <v>42</v>
      </c>
      <c r="K24" s="6" t="s">
        <v>67</v>
      </c>
    </row>
    <row r="25" spans="1:11" x14ac:dyDescent="0.3">
      <c r="A25" s="6" t="s">
        <v>74</v>
      </c>
      <c r="B25" s="6" t="s">
        <v>54</v>
      </c>
      <c r="C25" s="6" t="s">
        <v>44</v>
      </c>
      <c r="D25" s="7">
        <v>46179</v>
      </c>
      <c r="E25" s="6" t="s">
        <v>41</v>
      </c>
      <c r="F25" s="8">
        <v>1610.95</v>
      </c>
      <c r="G25" s="9">
        <v>0</v>
      </c>
      <c r="H25" s="8">
        <f t="shared" si="0"/>
        <v>0</v>
      </c>
      <c r="I25" s="8">
        <f t="shared" si="1"/>
        <v>1610.95</v>
      </c>
      <c r="J25" s="6" t="s">
        <v>42</v>
      </c>
      <c r="K25" s="6"/>
    </row>
    <row r="26" spans="1:11" x14ac:dyDescent="0.3">
      <c r="A26" s="6" t="s">
        <v>75</v>
      </c>
      <c r="B26" s="6" t="s">
        <v>54</v>
      </c>
      <c r="C26" s="6" t="s">
        <v>46</v>
      </c>
      <c r="D26" s="7">
        <v>46183</v>
      </c>
      <c r="E26" s="6" t="s">
        <v>47</v>
      </c>
      <c r="F26" s="8">
        <v>840</v>
      </c>
      <c r="G26" s="9">
        <v>0.2</v>
      </c>
      <c r="H26" s="8">
        <f t="shared" si="0"/>
        <v>168</v>
      </c>
      <c r="I26" s="8">
        <f t="shared" si="1"/>
        <v>1008</v>
      </c>
      <c r="J26" s="6" t="s">
        <v>42</v>
      </c>
      <c r="K26" s="6"/>
    </row>
    <row r="27" spans="1:11" x14ac:dyDescent="0.3">
      <c r="A27" s="6" t="s">
        <v>76</v>
      </c>
      <c r="B27" s="6" t="s">
        <v>54</v>
      </c>
      <c r="C27" s="6" t="s">
        <v>49</v>
      </c>
      <c r="D27" s="7">
        <v>46181</v>
      </c>
      <c r="E27" s="6" t="s">
        <v>41</v>
      </c>
      <c r="F27" s="8">
        <v>367.2</v>
      </c>
      <c r="G27" s="9">
        <v>0</v>
      </c>
      <c r="H27" s="8">
        <f t="shared" si="0"/>
        <v>0</v>
      </c>
      <c r="I27" s="8">
        <f t="shared" si="1"/>
        <v>367.2</v>
      </c>
      <c r="J27" s="6" t="s">
        <v>42</v>
      </c>
      <c r="K27" s="6"/>
    </row>
    <row r="28" spans="1:11" x14ac:dyDescent="0.3">
      <c r="A28" s="6" t="s">
        <v>77</v>
      </c>
      <c r="B28" s="6" t="s">
        <v>54</v>
      </c>
      <c r="C28" s="6" t="s">
        <v>51</v>
      </c>
      <c r="D28" s="7">
        <v>46185</v>
      </c>
      <c r="E28" s="6" t="s">
        <v>52</v>
      </c>
      <c r="F28" s="8">
        <v>295</v>
      </c>
      <c r="G28" s="9">
        <v>0.2</v>
      </c>
      <c r="H28" s="8">
        <f t="shared" si="0"/>
        <v>59</v>
      </c>
      <c r="I28" s="8">
        <f t="shared" si="1"/>
        <v>354</v>
      </c>
      <c r="J28" s="6" t="s">
        <v>42</v>
      </c>
      <c r="K28" s="6"/>
    </row>
    <row r="29" spans="1:11" x14ac:dyDescent="0.3">
      <c r="A29" s="6" t="s">
        <v>78</v>
      </c>
      <c r="B29" s="6" t="s">
        <v>60</v>
      </c>
      <c r="C29" s="6" t="s">
        <v>66</v>
      </c>
      <c r="D29" s="7">
        <v>46177</v>
      </c>
      <c r="E29" s="6" t="s">
        <v>41</v>
      </c>
      <c r="F29" s="8">
        <v>1198.5</v>
      </c>
      <c r="G29" s="9">
        <v>0</v>
      </c>
      <c r="H29" s="8">
        <f t="shared" si="0"/>
        <v>0</v>
      </c>
      <c r="I29" s="8">
        <f t="shared" si="1"/>
        <v>1198.5</v>
      </c>
      <c r="J29" s="6" t="s">
        <v>42</v>
      </c>
      <c r="K29" s="6" t="s">
        <v>67</v>
      </c>
    </row>
    <row r="30" spans="1:11" x14ac:dyDescent="0.3">
      <c r="A30" s="6" t="s">
        <v>79</v>
      </c>
      <c r="B30" s="6" t="s">
        <v>60</v>
      </c>
      <c r="C30" s="6" t="s">
        <v>44</v>
      </c>
      <c r="D30" s="7">
        <v>46179</v>
      </c>
      <c r="E30" s="6" t="s">
        <v>41</v>
      </c>
      <c r="F30" s="8">
        <v>1565.5</v>
      </c>
      <c r="G30" s="9">
        <v>0</v>
      </c>
      <c r="H30" s="8">
        <f t="shared" si="0"/>
        <v>0</v>
      </c>
      <c r="I30" s="8">
        <f t="shared" si="1"/>
        <v>1565.5</v>
      </c>
      <c r="J30" s="6" t="s">
        <v>42</v>
      </c>
      <c r="K30" s="6"/>
    </row>
    <row r="31" spans="1:11" x14ac:dyDescent="0.3">
      <c r="A31" s="6" t="s">
        <v>80</v>
      </c>
      <c r="B31" s="6" t="s">
        <v>60</v>
      </c>
      <c r="C31" s="6" t="s">
        <v>46</v>
      </c>
      <c r="D31" s="7">
        <v>46183</v>
      </c>
      <c r="E31" s="6" t="s">
        <v>47</v>
      </c>
      <c r="F31" s="8">
        <v>760</v>
      </c>
      <c r="G31" s="9">
        <v>0.2</v>
      </c>
      <c r="H31" s="8">
        <f t="shared" si="0"/>
        <v>152</v>
      </c>
      <c r="I31" s="8">
        <f t="shared" si="1"/>
        <v>912</v>
      </c>
      <c r="J31" s="6" t="s">
        <v>42</v>
      </c>
      <c r="K31" s="6"/>
    </row>
    <row r="32" spans="1:11" x14ac:dyDescent="0.3">
      <c r="A32" s="6" t="s">
        <v>81</v>
      </c>
      <c r="B32" s="6" t="s">
        <v>60</v>
      </c>
      <c r="C32" s="6" t="s">
        <v>49</v>
      </c>
      <c r="D32" s="7">
        <v>46181</v>
      </c>
      <c r="E32" s="6" t="s">
        <v>41</v>
      </c>
      <c r="F32" s="8">
        <v>336.6</v>
      </c>
      <c r="G32" s="9">
        <v>0</v>
      </c>
      <c r="H32" s="8">
        <f t="shared" si="0"/>
        <v>0</v>
      </c>
      <c r="I32" s="8">
        <f t="shared" si="1"/>
        <v>336.6</v>
      </c>
      <c r="J32" s="6" t="s">
        <v>42</v>
      </c>
      <c r="K32" s="6"/>
    </row>
    <row r="33" spans="1:11" x14ac:dyDescent="0.3">
      <c r="A33" s="6" t="s">
        <v>82</v>
      </c>
      <c r="B33" s="6" t="s">
        <v>60</v>
      </c>
      <c r="C33" s="6" t="s">
        <v>51</v>
      </c>
      <c r="D33" s="7">
        <v>46185</v>
      </c>
      <c r="E33" s="6" t="s">
        <v>52</v>
      </c>
      <c r="F33" s="8">
        <v>280</v>
      </c>
      <c r="G33" s="9">
        <v>0.2</v>
      </c>
      <c r="H33" s="8">
        <f t="shared" si="0"/>
        <v>56</v>
      </c>
      <c r="I33" s="8">
        <f t="shared" si="1"/>
        <v>336</v>
      </c>
      <c r="J33" s="6" t="s">
        <v>42</v>
      </c>
      <c r="K33" s="6"/>
    </row>
    <row r="34" spans="1:11" x14ac:dyDescent="0.3">
      <c r="A34" s="6" t="s">
        <v>83</v>
      </c>
      <c r="B34" s="6" t="s">
        <v>39</v>
      </c>
      <c r="C34" s="6" t="s">
        <v>66</v>
      </c>
      <c r="D34" s="7">
        <v>46207</v>
      </c>
      <c r="E34" s="6" t="s">
        <v>41</v>
      </c>
      <c r="F34" s="8">
        <v>1417.5</v>
      </c>
      <c r="G34" s="9">
        <v>0</v>
      </c>
      <c r="H34" s="8">
        <f t="shared" si="0"/>
        <v>0</v>
      </c>
      <c r="I34" s="8">
        <f t="shared" si="1"/>
        <v>1417.5</v>
      </c>
      <c r="J34" s="6" t="s">
        <v>42</v>
      </c>
      <c r="K34" s="6"/>
    </row>
    <row r="35" spans="1:11" x14ac:dyDescent="0.3">
      <c r="A35" s="6" t="s">
        <v>84</v>
      </c>
      <c r="B35" s="6" t="s">
        <v>39</v>
      </c>
      <c r="C35" s="6" t="s">
        <v>44</v>
      </c>
      <c r="D35" s="7">
        <v>46209</v>
      </c>
      <c r="E35" s="6" t="s">
        <v>41</v>
      </c>
      <c r="F35" s="8">
        <v>2082.5</v>
      </c>
      <c r="G35" s="9">
        <v>0</v>
      </c>
      <c r="H35" s="8">
        <f t="shared" si="0"/>
        <v>0</v>
      </c>
      <c r="I35" s="8">
        <f t="shared" si="1"/>
        <v>2082.5</v>
      </c>
      <c r="J35" s="6" t="s">
        <v>42</v>
      </c>
      <c r="K35" s="6" t="s">
        <v>85</v>
      </c>
    </row>
    <row r="36" spans="1:11" x14ac:dyDescent="0.3">
      <c r="A36" s="6" t="s">
        <v>86</v>
      </c>
      <c r="B36" s="6" t="s">
        <v>39</v>
      </c>
      <c r="C36" s="6" t="s">
        <v>46</v>
      </c>
      <c r="D36" s="7">
        <v>46213</v>
      </c>
      <c r="E36" s="6" t="s">
        <v>47</v>
      </c>
      <c r="F36" s="8">
        <v>927</v>
      </c>
      <c r="G36" s="9">
        <v>0.2</v>
      </c>
      <c r="H36" s="8">
        <f t="shared" ref="H36:H55" si="2">F36*G36</f>
        <v>185.4</v>
      </c>
      <c r="I36" s="8">
        <f t="shared" ref="I36:I55" si="3">F36*(1+G36)</f>
        <v>1112.3999999999999</v>
      </c>
      <c r="J36" s="6" t="s">
        <v>42</v>
      </c>
      <c r="K36" s="6"/>
    </row>
    <row r="37" spans="1:11" x14ac:dyDescent="0.3">
      <c r="A37" s="6" t="s">
        <v>87</v>
      </c>
      <c r="B37" s="6" t="s">
        <v>39</v>
      </c>
      <c r="C37" s="6" t="s">
        <v>49</v>
      </c>
      <c r="D37" s="7">
        <v>46211</v>
      </c>
      <c r="E37" s="6" t="s">
        <v>41</v>
      </c>
      <c r="F37" s="8">
        <v>401.7</v>
      </c>
      <c r="G37" s="9">
        <v>0</v>
      </c>
      <c r="H37" s="8">
        <f t="shared" si="2"/>
        <v>0</v>
      </c>
      <c r="I37" s="8">
        <f t="shared" si="3"/>
        <v>401.7</v>
      </c>
      <c r="J37" s="6" t="s">
        <v>42</v>
      </c>
      <c r="K37" s="6"/>
    </row>
    <row r="38" spans="1:11" x14ac:dyDescent="0.3">
      <c r="A38" s="6" t="s">
        <v>88</v>
      </c>
      <c r="B38" s="6" t="s">
        <v>39</v>
      </c>
      <c r="C38" s="6" t="s">
        <v>51</v>
      </c>
      <c r="D38" s="7">
        <v>46215</v>
      </c>
      <c r="E38" s="6" t="s">
        <v>52</v>
      </c>
      <c r="F38" s="8">
        <v>310</v>
      </c>
      <c r="G38" s="9">
        <v>0.2</v>
      </c>
      <c r="H38" s="8">
        <f t="shared" si="2"/>
        <v>62</v>
      </c>
      <c r="I38" s="8">
        <f t="shared" si="3"/>
        <v>372</v>
      </c>
      <c r="J38" s="6" t="s">
        <v>42</v>
      </c>
      <c r="K38" s="6"/>
    </row>
    <row r="39" spans="1:11" x14ac:dyDescent="0.3">
      <c r="A39" s="6" t="s">
        <v>89</v>
      </c>
      <c r="B39" s="6" t="s">
        <v>39</v>
      </c>
      <c r="C39" s="6" t="s">
        <v>51</v>
      </c>
      <c r="D39" s="7">
        <v>46215</v>
      </c>
      <c r="E39" s="6" t="s">
        <v>52</v>
      </c>
      <c r="F39" s="8">
        <v>310</v>
      </c>
      <c r="G39" s="9">
        <v>0.2</v>
      </c>
      <c r="H39" s="8">
        <f t="shared" si="2"/>
        <v>62</v>
      </c>
      <c r="I39" s="8">
        <f t="shared" si="3"/>
        <v>372</v>
      </c>
      <c r="J39" s="6" t="s">
        <v>42</v>
      </c>
      <c r="K39" s="6" t="s">
        <v>90</v>
      </c>
    </row>
    <row r="40" spans="1:11" x14ac:dyDescent="0.3">
      <c r="A40" s="6" t="s">
        <v>91</v>
      </c>
      <c r="B40" s="6" t="s">
        <v>54</v>
      </c>
      <c r="C40" s="6" t="s">
        <v>66</v>
      </c>
      <c r="D40" s="7">
        <v>46207</v>
      </c>
      <c r="E40" s="6" t="s">
        <v>41</v>
      </c>
      <c r="F40" s="8">
        <v>1323</v>
      </c>
      <c r="G40" s="9">
        <v>0</v>
      </c>
      <c r="H40" s="8">
        <f t="shared" si="2"/>
        <v>0</v>
      </c>
      <c r="I40" s="8">
        <f t="shared" si="3"/>
        <v>1323</v>
      </c>
      <c r="J40" s="6" t="s">
        <v>42</v>
      </c>
      <c r="K40" s="6"/>
    </row>
    <row r="41" spans="1:11" x14ac:dyDescent="0.3">
      <c r="A41" s="6" t="s">
        <v>92</v>
      </c>
      <c r="B41" s="6" t="s">
        <v>54</v>
      </c>
      <c r="C41" s="6" t="s">
        <v>44</v>
      </c>
      <c r="D41" s="7">
        <v>46209</v>
      </c>
      <c r="E41" s="6" t="s">
        <v>41</v>
      </c>
      <c r="F41" s="8">
        <v>1898.05</v>
      </c>
      <c r="G41" s="9">
        <v>0</v>
      </c>
      <c r="H41" s="8">
        <f t="shared" si="2"/>
        <v>0</v>
      </c>
      <c r="I41" s="8">
        <f t="shared" si="3"/>
        <v>1898.05</v>
      </c>
      <c r="J41" s="6" t="s">
        <v>42</v>
      </c>
      <c r="K41" s="6" t="s">
        <v>85</v>
      </c>
    </row>
    <row r="42" spans="1:11" x14ac:dyDescent="0.3">
      <c r="A42" s="6" t="s">
        <v>93</v>
      </c>
      <c r="B42" s="6" t="s">
        <v>54</v>
      </c>
      <c r="C42" s="6" t="s">
        <v>46</v>
      </c>
      <c r="D42" s="7">
        <v>46213</v>
      </c>
      <c r="E42" s="6" t="s">
        <v>47</v>
      </c>
      <c r="F42" s="8">
        <v>865.2</v>
      </c>
      <c r="G42" s="9">
        <v>0.2</v>
      </c>
      <c r="H42" s="8">
        <f t="shared" si="2"/>
        <v>173.04000000000002</v>
      </c>
      <c r="I42" s="8">
        <f t="shared" si="3"/>
        <v>1038.24</v>
      </c>
      <c r="J42" s="6" t="s">
        <v>42</v>
      </c>
      <c r="K42" s="6"/>
    </row>
    <row r="43" spans="1:11" x14ac:dyDescent="0.3">
      <c r="A43" s="6" t="s">
        <v>94</v>
      </c>
      <c r="B43" s="6" t="s">
        <v>54</v>
      </c>
      <c r="C43" s="6" t="s">
        <v>49</v>
      </c>
      <c r="D43" s="7">
        <v>46211</v>
      </c>
      <c r="E43" s="6" t="s">
        <v>41</v>
      </c>
      <c r="F43" s="8">
        <v>370.8</v>
      </c>
      <c r="G43" s="9">
        <v>0</v>
      </c>
      <c r="H43" s="8">
        <f t="shared" si="2"/>
        <v>0</v>
      </c>
      <c r="I43" s="8">
        <f t="shared" si="3"/>
        <v>370.8</v>
      </c>
      <c r="J43" s="6" t="s">
        <v>42</v>
      </c>
      <c r="K43" s="6"/>
    </row>
    <row r="44" spans="1:11" x14ac:dyDescent="0.3">
      <c r="A44" s="6" t="s">
        <v>95</v>
      </c>
      <c r="B44" s="6" t="s">
        <v>54</v>
      </c>
      <c r="C44" s="6" t="s">
        <v>51</v>
      </c>
      <c r="D44" s="7">
        <v>46215</v>
      </c>
      <c r="E44" s="6" t="s">
        <v>52</v>
      </c>
      <c r="F44" s="8">
        <v>295</v>
      </c>
      <c r="G44" s="9">
        <v>0.2</v>
      </c>
      <c r="H44" s="8">
        <f t="shared" si="2"/>
        <v>59</v>
      </c>
      <c r="I44" s="8">
        <f t="shared" si="3"/>
        <v>354</v>
      </c>
      <c r="J44" s="6" t="s">
        <v>42</v>
      </c>
      <c r="K44" s="6"/>
    </row>
    <row r="45" spans="1:11" x14ac:dyDescent="0.3">
      <c r="A45" s="6" t="s">
        <v>96</v>
      </c>
      <c r="B45" s="6" t="s">
        <v>60</v>
      </c>
      <c r="C45" s="6" t="s">
        <v>66</v>
      </c>
      <c r="D45" s="7">
        <v>46207</v>
      </c>
      <c r="E45" s="6" t="s">
        <v>41</v>
      </c>
      <c r="F45" s="8">
        <v>1233.75</v>
      </c>
      <c r="G45" s="9">
        <v>0</v>
      </c>
      <c r="H45" s="8">
        <f t="shared" si="2"/>
        <v>0</v>
      </c>
      <c r="I45" s="8">
        <f t="shared" si="3"/>
        <v>1233.75</v>
      </c>
      <c r="J45" s="6" t="s">
        <v>42</v>
      </c>
      <c r="K45" s="6"/>
    </row>
    <row r="46" spans="1:11" x14ac:dyDescent="0.3">
      <c r="A46" s="6" t="s">
        <v>97</v>
      </c>
      <c r="B46" s="6" t="s">
        <v>60</v>
      </c>
      <c r="C46" s="6" t="s">
        <v>44</v>
      </c>
      <c r="D46" s="7">
        <v>46209</v>
      </c>
      <c r="E46" s="6" t="s">
        <v>41</v>
      </c>
      <c r="F46" s="8">
        <v>1844.5</v>
      </c>
      <c r="G46" s="9">
        <v>0</v>
      </c>
      <c r="H46" s="8">
        <f t="shared" si="2"/>
        <v>0</v>
      </c>
      <c r="I46" s="8">
        <f t="shared" si="3"/>
        <v>1844.5</v>
      </c>
      <c r="J46" s="6" t="s">
        <v>42</v>
      </c>
      <c r="K46" s="6" t="s">
        <v>85</v>
      </c>
    </row>
    <row r="47" spans="1:11" x14ac:dyDescent="0.3">
      <c r="A47" s="6" t="s">
        <v>98</v>
      </c>
      <c r="B47" s="6" t="s">
        <v>60</v>
      </c>
      <c r="C47" s="6" t="s">
        <v>46</v>
      </c>
      <c r="D47" s="7">
        <v>46213</v>
      </c>
      <c r="E47" s="6" t="s">
        <v>47</v>
      </c>
      <c r="F47" s="8">
        <v>782.8</v>
      </c>
      <c r="G47" s="9">
        <v>0.2</v>
      </c>
      <c r="H47" s="8">
        <f t="shared" si="2"/>
        <v>156.56</v>
      </c>
      <c r="I47" s="8">
        <f t="shared" si="3"/>
        <v>939.3599999999999</v>
      </c>
      <c r="J47" s="6" t="s">
        <v>42</v>
      </c>
      <c r="K47" s="6"/>
    </row>
    <row r="48" spans="1:11" x14ac:dyDescent="0.3">
      <c r="A48" s="6" t="s">
        <v>99</v>
      </c>
      <c r="B48" s="6" t="s">
        <v>60</v>
      </c>
      <c r="C48" s="6" t="s">
        <v>49</v>
      </c>
      <c r="D48" s="7">
        <v>46211</v>
      </c>
      <c r="E48" s="6" t="s">
        <v>41</v>
      </c>
      <c r="F48" s="8">
        <v>339.9</v>
      </c>
      <c r="G48" s="9">
        <v>0</v>
      </c>
      <c r="H48" s="8">
        <f t="shared" si="2"/>
        <v>0</v>
      </c>
      <c r="I48" s="8">
        <f t="shared" si="3"/>
        <v>339.9</v>
      </c>
      <c r="J48" s="6" t="s">
        <v>42</v>
      </c>
      <c r="K48" s="6"/>
    </row>
    <row r="49" spans="1:11" x14ac:dyDescent="0.3">
      <c r="A49" s="6" t="s">
        <v>100</v>
      </c>
      <c r="B49" s="6" t="s">
        <v>60</v>
      </c>
      <c r="C49" s="6" t="s">
        <v>51</v>
      </c>
      <c r="D49" s="7">
        <v>46215</v>
      </c>
      <c r="E49" s="6" t="s">
        <v>52</v>
      </c>
      <c r="F49" s="8">
        <v>280</v>
      </c>
      <c r="G49" s="9">
        <v>0.2</v>
      </c>
      <c r="H49" s="8">
        <f t="shared" si="2"/>
        <v>56</v>
      </c>
      <c r="I49" s="8">
        <f t="shared" si="3"/>
        <v>336</v>
      </c>
      <c r="J49" s="6" t="s">
        <v>42</v>
      </c>
      <c r="K49" s="6"/>
    </row>
    <row r="50" spans="1:11" x14ac:dyDescent="0.3">
      <c r="A50" s="6" t="s">
        <v>101</v>
      </c>
      <c r="B50" s="6" t="s">
        <v>60</v>
      </c>
      <c r="C50" s="6" t="s">
        <v>102</v>
      </c>
      <c r="D50" s="7">
        <v>46157</v>
      </c>
      <c r="E50" s="6" t="s">
        <v>52</v>
      </c>
      <c r="F50" s="8">
        <v>395</v>
      </c>
      <c r="G50" s="9">
        <v>0.2</v>
      </c>
      <c r="H50" s="8">
        <f t="shared" si="2"/>
        <v>79</v>
      </c>
      <c r="I50" s="8">
        <f t="shared" si="3"/>
        <v>474</v>
      </c>
      <c r="J50" s="6" t="s">
        <v>42</v>
      </c>
      <c r="K50" s="6"/>
    </row>
    <row r="51" spans="1:11" x14ac:dyDescent="0.3">
      <c r="A51" s="6" t="s">
        <v>103</v>
      </c>
      <c r="B51" s="6" t="s">
        <v>60</v>
      </c>
      <c r="C51" s="6" t="s">
        <v>102</v>
      </c>
      <c r="D51" s="7">
        <v>46218</v>
      </c>
      <c r="E51" s="6" t="s">
        <v>52</v>
      </c>
      <c r="F51" s="8">
        <v>410</v>
      </c>
      <c r="G51" s="9">
        <v>0.2</v>
      </c>
      <c r="H51" s="8">
        <f t="shared" si="2"/>
        <v>82</v>
      </c>
      <c r="I51" s="8">
        <f t="shared" si="3"/>
        <v>492</v>
      </c>
      <c r="J51" s="6" t="s">
        <v>42</v>
      </c>
      <c r="K51" s="6" t="s">
        <v>104</v>
      </c>
    </row>
    <row r="52" spans="1:11" x14ac:dyDescent="0.3">
      <c r="A52" s="6" t="s">
        <v>105</v>
      </c>
      <c r="B52" s="6" t="s">
        <v>39</v>
      </c>
      <c r="C52" s="6" t="s">
        <v>106</v>
      </c>
      <c r="D52" s="7">
        <v>46162</v>
      </c>
      <c r="E52" s="6" t="s">
        <v>107</v>
      </c>
      <c r="F52" s="8">
        <v>150</v>
      </c>
      <c r="G52" s="9">
        <v>0.2</v>
      </c>
      <c r="H52" s="8">
        <f t="shared" si="2"/>
        <v>30</v>
      </c>
      <c r="I52" s="8">
        <f t="shared" si="3"/>
        <v>180</v>
      </c>
      <c r="J52" s="6" t="s">
        <v>42</v>
      </c>
      <c r="K52" s="6" t="s">
        <v>108</v>
      </c>
    </row>
    <row r="53" spans="1:11" x14ac:dyDescent="0.3">
      <c r="A53" s="6" t="s">
        <v>109</v>
      </c>
      <c r="B53" s="6" t="s">
        <v>54</v>
      </c>
      <c r="C53" s="6" t="s">
        <v>106</v>
      </c>
      <c r="D53" s="7">
        <v>46162</v>
      </c>
      <c r="E53" s="6" t="s">
        <v>107</v>
      </c>
      <c r="F53" s="8">
        <v>140</v>
      </c>
      <c r="G53" s="9">
        <v>0.2</v>
      </c>
      <c r="H53" s="8">
        <f t="shared" si="2"/>
        <v>28</v>
      </c>
      <c r="I53" s="8">
        <f t="shared" si="3"/>
        <v>168</v>
      </c>
      <c r="J53" s="6" t="s">
        <v>42</v>
      </c>
      <c r="K53" s="6" t="s">
        <v>108</v>
      </c>
    </row>
    <row r="54" spans="1:11" x14ac:dyDescent="0.3">
      <c r="A54" s="6" t="s">
        <v>110</v>
      </c>
      <c r="B54" s="6" t="s">
        <v>60</v>
      </c>
      <c r="C54" s="6" t="s">
        <v>106</v>
      </c>
      <c r="D54" s="7">
        <v>46162</v>
      </c>
      <c r="E54" s="6" t="s">
        <v>107</v>
      </c>
      <c r="F54" s="8">
        <v>145</v>
      </c>
      <c r="G54" s="9">
        <v>0.2</v>
      </c>
      <c r="H54" s="8">
        <f t="shared" si="2"/>
        <v>29</v>
      </c>
      <c r="I54" s="8">
        <f t="shared" si="3"/>
        <v>174</v>
      </c>
      <c r="J54" s="6" t="s">
        <v>42</v>
      </c>
      <c r="K54" s="6" t="s">
        <v>108</v>
      </c>
    </row>
    <row r="55" spans="1:11" x14ac:dyDescent="0.3">
      <c r="A55" s="6" t="s">
        <v>111</v>
      </c>
      <c r="B55" s="6" t="s">
        <v>39</v>
      </c>
      <c r="C55" s="6" t="s">
        <v>112</v>
      </c>
      <c r="D55" s="7">
        <v>46191</v>
      </c>
      <c r="E55" s="6" t="s">
        <v>113</v>
      </c>
      <c r="F55" s="8">
        <v>600</v>
      </c>
      <c r="G55" s="9">
        <v>0.2</v>
      </c>
      <c r="H55" s="8">
        <f t="shared" si="2"/>
        <v>120</v>
      </c>
      <c r="I55" s="8">
        <f t="shared" si="3"/>
        <v>720</v>
      </c>
      <c r="J55" s="6" t="s">
        <v>42</v>
      </c>
      <c r="K55" s="6" t="s">
        <v>114</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9"/>
  <sheetViews>
    <sheetView showGridLines="0" zoomScaleNormal="100" workbookViewId="0">
      <pane ySplit="3" topLeftCell="A81" activePane="bottomLeft" state="frozen"/>
      <selection pane="bottomLeft"/>
    </sheetView>
  </sheetViews>
  <sheetFormatPr defaultColWidth="8.6640625" defaultRowHeight="14.4" x14ac:dyDescent="0.3"/>
  <cols>
    <col min="1" max="1" width="14" customWidth="1"/>
    <col min="2" max="2" width="16" customWidth="1"/>
    <col min="3" max="3" width="12" customWidth="1"/>
    <col min="4" max="4" width="34" customWidth="1"/>
    <col min="5" max="5" width="14" customWidth="1"/>
    <col min="6" max="6" width="20" customWidth="1"/>
    <col min="7" max="7" width="16" customWidth="1"/>
    <col min="8" max="8" width="55" customWidth="1"/>
  </cols>
  <sheetData>
    <row r="1" spans="1:8" ht="17.399999999999999" x14ac:dyDescent="0.3">
      <c r="A1" s="1" t="s">
        <v>115</v>
      </c>
    </row>
    <row r="3" spans="1:8" ht="26.4" x14ac:dyDescent="0.3">
      <c r="A3" s="5" t="s">
        <v>116</v>
      </c>
      <c r="B3" s="5" t="s">
        <v>117</v>
      </c>
      <c r="C3" s="5" t="s">
        <v>28</v>
      </c>
      <c r="D3" s="5" t="s">
        <v>118</v>
      </c>
      <c r="E3" s="5" t="s">
        <v>119</v>
      </c>
      <c r="F3" s="5" t="s">
        <v>120</v>
      </c>
      <c r="G3" s="5" t="s">
        <v>121</v>
      </c>
      <c r="H3" s="5" t="s">
        <v>37</v>
      </c>
    </row>
    <row r="4" spans="1:8" x14ac:dyDescent="0.3">
      <c r="A4" s="7">
        <v>46143</v>
      </c>
      <c r="B4" s="6" t="s">
        <v>122</v>
      </c>
      <c r="C4" s="6" t="s">
        <v>39</v>
      </c>
      <c r="D4" s="6" t="s">
        <v>123</v>
      </c>
      <c r="E4" s="10">
        <v>-3200</v>
      </c>
      <c r="F4" s="6" t="s">
        <v>124</v>
      </c>
      <c r="G4" s="6"/>
      <c r="H4" s="6"/>
    </row>
    <row r="5" spans="1:8" x14ac:dyDescent="0.3">
      <c r="A5" s="7">
        <v>46143</v>
      </c>
      <c r="B5" s="6" t="s">
        <v>122</v>
      </c>
      <c r="C5" s="6" t="s">
        <v>54</v>
      </c>
      <c r="D5" s="6" t="s">
        <v>123</v>
      </c>
      <c r="E5" s="10">
        <v>-2900</v>
      </c>
      <c r="F5" s="6" t="s">
        <v>124</v>
      </c>
      <c r="G5" s="6"/>
      <c r="H5" s="6"/>
    </row>
    <row r="6" spans="1:8" x14ac:dyDescent="0.3">
      <c r="A6" s="7">
        <v>46143</v>
      </c>
      <c r="B6" s="6" t="s">
        <v>122</v>
      </c>
      <c r="C6" s="6" t="s">
        <v>60</v>
      </c>
      <c r="D6" s="6" t="s">
        <v>123</v>
      </c>
      <c r="E6" s="10">
        <v>-2700</v>
      </c>
      <c r="F6" s="6" t="s">
        <v>124</v>
      </c>
      <c r="G6" s="6"/>
      <c r="H6" s="6"/>
    </row>
    <row r="7" spans="1:8" x14ac:dyDescent="0.3">
      <c r="A7" s="7">
        <v>46145</v>
      </c>
      <c r="B7" s="6" t="s">
        <v>125</v>
      </c>
      <c r="C7" s="6" t="s">
        <v>39</v>
      </c>
      <c r="D7" s="6" t="s">
        <v>126</v>
      </c>
      <c r="E7" s="10">
        <v>-640</v>
      </c>
      <c r="F7" s="6" t="s">
        <v>127</v>
      </c>
      <c r="G7" s="6"/>
      <c r="H7" s="6"/>
    </row>
    <row r="8" spans="1:8" x14ac:dyDescent="0.3">
      <c r="A8" s="7">
        <v>46145</v>
      </c>
      <c r="B8" s="6" t="s">
        <v>125</v>
      </c>
      <c r="C8" s="6" t="s">
        <v>54</v>
      </c>
      <c r="D8" s="6" t="s">
        <v>126</v>
      </c>
      <c r="E8" s="10">
        <v>-520</v>
      </c>
      <c r="F8" s="6" t="s">
        <v>127</v>
      </c>
      <c r="G8" s="6"/>
      <c r="H8" s="6"/>
    </row>
    <row r="9" spans="1:8" x14ac:dyDescent="0.3">
      <c r="A9" s="7">
        <v>46145</v>
      </c>
      <c r="B9" s="6" t="s">
        <v>125</v>
      </c>
      <c r="C9" s="6" t="s">
        <v>60</v>
      </c>
      <c r="D9" s="6" t="s">
        <v>126</v>
      </c>
      <c r="E9" s="10">
        <v>-580</v>
      </c>
      <c r="F9" s="6" t="s">
        <v>127</v>
      </c>
      <c r="G9" s="6"/>
      <c r="H9" s="6"/>
    </row>
    <row r="10" spans="1:8" x14ac:dyDescent="0.3">
      <c r="A10" s="7">
        <v>46152</v>
      </c>
      <c r="B10" s="6" t="s">
        <v>128</v>
      </c>
      <c r="C10" s="6" t="s">
        <v>39</v>
      </c>
      <c r="D10" s="6" t="s">
        <v>129</v>
      </c>
      <c r="E10" s="10">
        <v>-1350</v>
      </c>
      <c r="F10" s="6" t="s">
        <v>130</v>
      </c>
      <c r="G10" s="6" t="s">
        <v>38</v>
      </c>
      <c r="H10" s="6"/>
    </row>
    <row r="11" spans="1:8" x14ac:dyDescent="0.3">
      <c r="A11" s="7">
        <v>46152</v>
      </c>
      <c r="B11" s="6" t="s">
        <v>128</v>
      </c>
      <c r="C11" s="6" t="s">
        <v>54</v>
      </c>
      <c r="D11" s="6" t="s">
        <v>129</v>
      </c>
      <c r="E11" s="10">
        <v>-1260</v>
      </c>
      <c r="F11" s="6" t="s">
        <v>130</v>
      </c>
      <c r="G11" s="6" t="s">
        <v>53</v>
      </c>
      <c r="H11" s="6"/>
    </row>
    <row r="12" spans="1:8" x14ac:dyDescent="0.3">
      <c r="A12" s="7">
        <v>46152</v>
      </c>
      <c r="B12" s="6" t="s">
        <v>128</v>
      </c>
      <c r="C12" s="6" t="s">
        <v>60</v>
      </c>
      <c r="D12" s="6" t="s">
        <v>129</v>
      </c>
      <c r="E12" s="10">
        <v>-1175</v>
      </c>
      <c r="F12" s="6" t="s">
        <v>130</v>
      </c>
      <c r="G12" s="6" t="s">
        <v>59</v>
      </c>
      <c r="H12" s="6"/>
    </row>
    <row r="13" spans="1:8" x14ac:dyDescent="0.3">
      <c r="A13" s="7">
        <v>46154</v>
      </c>
      <c r="B13" s="6" t="s">
        <v>131</v>
      </c>
      <c r="C13" s="6" t="s">
        <v>39</v>
      </c>
      <c r="D13" s="6" t="s">
        <v>132</v>
      </c>
      <c r="E13" s="10">
        <v>-1750</v>
      </c>
      <c r="F13" s="6" t="s">
        <v>130</v>
      </c>
      <c r="G13" s="6" t="s">
        <v>43</v>
      </c>
      <c r="H13" s="6"/>
    </row>
    <row r="14" spans="1:8" x14ac:dyDescent="0.3">
      <c r="A14" s="7">
        <v>46154</v>
      </c>
      <c r="B14" s="6" t="s">
        <v>131</v>
      </c>
      <c r="C14" s="6" t="s">
        <v>54</v>
      </c>
      <c r="D14" s="6" t="s">
        <v>132</v>
      </c>
      <c r="E14" s="10">
        <v>-1595</v>
      </c>
      <c r="F14" s="6" t="s">
        <v>130</v>
      </c>
      <c r="G14" s="6" t="s">
        <v>55</v>
      </c>
      <c r="H14" s="6"/>
    </row>
    <row r="15" spans="1:8" x14ac:dyDescent="0.3">
      <c r="A15" s="7">
        <v>46154</v>
      </c>
      <c r="B15" s="6" t="s">
        <v>131</v>
      </c>
      <c r="C15" s="6" t="s">
        <v>60</v>
      </c>
      <c r="D15" s="6" t="s">
        <v>132</v>
      </c>
      <c r="E15" s="10">
        <v>-1550</v>
      </c>
      <c r="F15" s="6" t="s">
        <v>130</v>
      </c>
      <c r="G15" s="6" t="s">
        <v>61</v>
      </c>
      <c r="H15" s="6"/>
    </row>
    <row r="16" spans="1:8" x14ac:dyDescent="0.3">
      <c r="A16" s="7">
        <v>46156</v>
      </c>
      <c r="B16" s="6" t="s">
        <v>133</v>
      </c>
      <c r="C16" s="6" t="s">
        <v>39</v>
      </c>
      <c r="D16" s="6" t="s">
        <v>134</v>
      </c>
      <c r="E16" s="10">
        <v>-390</v>
      </c>
      <c r="F16" s="6" t="s">
        <v>130</v>
      </c>
      <c r="G16" s="6" t="s">
        <v>48</v>
      </c>
      <c r="H16" s="6"/>
    </row>
    <row r="17" spans="1:8" x14ac:dyDescent="0.3">
      <c r="A17" s="7">
        <v>46156</v>
      </c>
      <c r="B17" s="6" t="s">
        <v>133</v>
      </c>
      <c r="C17" s="6" t="s">
        <v>54</v>
      </c>
      <c r="D17" s="6" t="s">
        <v>134</v>
      </c>
      <c r="E17" s="10">
        <v>-360</v>
      </c>
      <c r="F17" s="6" t="s">
        <v>130</v>
      </c>
      <c r="G17" s="6" t="s">
        <v>57</v>
      </c>
      <c r="H17" s="6"/>
    </row>
    <row r="18" spans="1:8" x14ac:dyDescent="0.3">
      <c r="A18" s="7">
        <v>46156</v>
      </c>
      <c r="B18" s="6" t="s">
        <v>133</v>
      </c>
      <c r="C18" s="6" t="s">
        <v>60</v>
      </c>
      <c r="D18" s="6" t="s">
        <v>134</v>
      </c>
      <c r="E18" s="10">
        <v>-330</v>
      </c>
      <c r="F18" s="6" t="s">
        <v>130</v>
      </c>
      <c r="G18" s="6" t="s">
        <v>63</v>
      </c>
      <c r="H18" s="6"/>
    </row>
    <row r="19" spans="1:8" x14ac:dyDescent="0.3">
      <c r="A19" s="7">
        <v>46158</v>
      </c>
      <c r="B19" s="6" t="s">
        <v>135</v>
      </c>
      <c r="C19" s="6" t="s">
        <v>39</v>
      </c>
      <c r="D19" s="6" t="s">
        <v>136</v>
      </c>
      <c r="E19" s="10">
        <v>-1080</v>
      </c>
      <c r="F19" s="6" t="s">
        <v>130</v>
      </c>
      <c r="G19" s="6" t="s">
        <v>45</v>
      </c>
      <c r="H19" s="6"/>
    </row>
    <row r="20" spans="1:8" x14ac:dyDescent="0.3">
      <c r="A20" s="7">
        <v>46158</v>
      </c>
      <c r="B20" s="6" t="s">
        <v>135</v>
      </c>
      <c r="C20" s="6" t="s">
        <v>54</v>
      </c>
      <c r="D20" s="6" t="s">
        <v>136</v>
      </c>
      <c r="E20" s="10">
        <v>-1008</v>
      </c>
      <c r="F20" s="6" t="s">
        <v>130</v>
      </c>
      <c r="G20" s="6" t="s">
        <v>56</v>
      </c>
      <c r="H20" s="6"/>
    </row>
    <row r="21" spans="1:8" x14ac:dyDescent="0.3">
      <c r="A21" s="7">
        <v>46158</v>
      </c>
      <c r="B21" s="6" t="s">
        <v>135</v>
      </c>
      <c r="C21" s="6" t="s">
        <v>60</v>
      </c>
      <c r="D21" s="6" t="s">
        <v>136</v>
      </c>
      <c r="E21" s="10">
        <v>-912</v>
      </c>
      <c r="F21" s="6" t="s">
        <v>130</v>
      </c>
      <c r="G21" s="6" t="s">
        <v>62</v>
      </c>
      <c r="H21" s="6"/>
    </row>
    <row r="22" spans="1:8" x14ac:dyDescent="0.3">
      <c r="A22" s="7">
        <v>46160</v>
      </c>
      <c r="B22" s="6" t="s">
        <v>137</v>
      </c>
      <c r="C22" s="6" t="s">
        <v>39</v>
      </c>
      <c r="D22" s="6" t="s">
        <v>138</v>
      </c>
      <c r="E22" s="10">
        <v>-372</v>
      </c>
      <c r="F22" s="6" t="s">
        <v>130</v>
      </c>
      <c r="G22" s="6" t="s">
        <v>50</v>
      </c>
      <c r="H22" s="6"/>
    </row>
    <row r="23" spans="1:8" x14ac:dyDescent="0.3">
      <c r="A23" s="7">
        <v>46160</v>
      </c>
      <c r="B23" s="6" t="s">
        <v>137</v>
      </c>
      <c r="C23" s="6" t="s">
        <v>54</v>
      </c>
      <c r="D23" s="6" t="s">
        <v>138</v>
      </c>
      <c r="E23" s="10">
        <v>-354</v>
      </c>
      <c r="F23" s="6" t="s">
        <v>130</v>
      </c>
      <c r="G23" s="6" t="s">
        <v>58</v>
      </c>
      <c r="H23" s="6"/>
    </row>
    <row r="24" spans="1:8" x14ac:dyDescent="0.3">
      <c r="A24" s="7">
        <v>46160</v>
      </c>
      <c r="B24" s="6" t="s">
        <v>137</v>
      </c>
      <c r="C24" s="6" t="s">
        <v>60</v>
      </c>
      <c r="D24" s="6" t="s">
        <v>138</v>
      </c>
      <c r="E24" s="10">
        <v>-336</v>
      </c>
      <c r="F24" s="6" t="s">
        <v>130</v>
      </c>
      <c r="G24" s="6" t="s">
        <v>64</v>
      </c>
      <c r="H24" s="6"/>
    </row>
    <row r="25" spans="1:8" x14ac:dyDescent="0.3">
      <c r="A25" s="7">
        <v>46163</v>
      </c>
      <c r="B25" s="6" t="s">
        <v>139</v>
      </c>
      <c r="C25" s="6" t="s">
        <v>60</v>
      </c>
      <c r="D25" s="6" t="s">
        <v>140</v>
      </c>
      <c r="E25" s="10">
        <v>-474</v>
      </c>
      <c r="F25" s="6" t="s">
        <v>130</v>
      </c>
      <c r="G25" s="6" t="s">
        <v>101</v>
      </c>
      <c r="H25" s="6"/>
    </row>
    <row r="26" spans="1:8" x14ac:dyDescent="0.3">
      <c r="A26" s="7">
        <v>46168</v>
      </c>
      <c r="B26" s="6" t="s">
        <v>141</v>
      </c>
      <c r="C26" s="6" t="s">
        <v>39</v>
      </c>
      <c r="D26" s="6" t="s">
        <v>142</v>
      </c>
      <c r="E26" s="10">
        <v>-180</v>
      </c>
      <c r="F26" s="6" t="s">
        <v>130</v>
      </c>
      <c r="G26" s="6" t="s">
        <v>105</v>
      </c>
      <c r="H26" s="6"/>
    </row>
    <row r="27" spans="1:8" x14ac:dyDescent="0.3">
      <c r="A27" s="7">
        <v>46168</v>
      </c>
      <c r="B27" s="6" t="s">
        <v>141</v>
      </c>
      <c r="C27" s="6" t="s">
        <v>54</v>
      </c>
      <c r="D27" s="6" t="s">
        <v>142</v>
      </c>
      <c r="E27" s="10">
        <v>-168</v>
      </c>
      <c r="F27" s="6" t="s">
        <v>130</v>
      </c>
      <c r="G27" s="6" t="s">
        <v>109</v>
      </c>
      <c r="H27" s="6"/>
    </row>
    <row r="28" spans="1:8" x14ac:dyDescent="0.3">
      <c r="A28" s="7">
        <v>46168</v>
      </c>
      <c r="B28" s="6" t="s">
        <v>141</v>
      </c>
      <c r="C28" s="6" t="s">
        <v>60</v>
      </c>
      <c r="D28" s="6" t="s">
        <v>142</v>
      </c>
      <c r="E28" s="10">
        <v>-174</v>
      </c>
      <c r="F28" s="6" t="s">
        <v>130</v>
      </c>
      <c r="G28" s="6" t="s">
        <v>110</v>
      </c>
      <c r="H28" s="6"/>
    </row>
    <row r="29" spans="1:8" x14ac:dyDescent="0.3">
      <c r="A29" s="7">
        <v>46169</v>
      </c>
      <c r="B29" s="6" t="s">
        <v>143</v>
      </c>
      <c r="C29" s="6" t="s">
        <v>39</v>
      </c>
      <c r="D29" s="6" t="s">
        <v>144</v>
      </c>
      <c r="E29" s="10">
        <v>6480</v>
      </c>
      <c r="F29" s="6" t="s">
        <v>145</v>
      </c>
      <c r="G29" s="6"/>
      <c r="H29" s="6"/>
    </row>
    <row r="30" spans="1:8" x14ac:dyDescent="0.3">
      <c r="A30" s="7">
        <v>46169</v>
      </c>
      <c r="B30" s="6" t="s">
        <v>143</v>
      </c>
      <c r="C30" s="6" t="s">
        <v>39</v>
      </c>
      <c r="D30" s="6" t="s">
        <v>146</v>
      </c>
      <c r="E30" s="10">
        <v>3850</v>
      </c>
      <c r="F30" s="6" t="s">
        <v>145</v>
      </c>
      <c r="G30" s="6"/>
      <c r="H30" s="6"/>
    </row>
    <row r="31" spans="1:8" x14ac:dyDescent="0.3">
      <c r="A31" s="7">
        <v>46169</v>
      </c>
      <c r="B31" s="6" t="s">
        <v>143</v>
      </c>
      <c r="C31" s="6" t="s">
        <v>39</v>
      </c>
      <c r="D31" s="6" t="s">
        <v>147</v>
      </c>
      <c r="E31" s="10">
        <v>2580</v>
      </c>
      <c r="F31" s="6" t="s">
        <v>145</v>
      </c>
      <c r="G31" s="6"/>
      <c r="H31" s="6"/>
    </row>
    <row r="32" spans="1:8" x14ac:dyDescent="0.3">
      <c r="A32" s="7">
        <v>46169</v>
      </c>
      <c r="B32" s="6" t="s">
        <v>143</v>
      </c>
      <c r="C32" s="6" t="s">
        <v>54</v>
      </c>
      <c r="D32" s="6" t="s">
        <v>144</v>
      </c>
      <c r="E32" s="10">
        <v>7920</v>
      </c>
      <c r="F32" s="6" t="s">
        <v>145</v>
      </c>
      <c r="G32" s="6"/>
      <c r="H32" s="6"/>
    </row>
    <row r="33" spans="1:8" x14ac:dyDescent="0.3">
      <c r="A33" s="7">
        <v>46169</v>
      </c>
      <c r="B33" s="6" t="s">
        <v>143</v>
      </c>
      <c r="C33" s="6" t="s">
        <v>54</v>
      </c>
      <c r="D33" s="6" t="s">
        <v>146</v>
      </c>
      <c r="E33" s="10">
        <v>5600</v>
      </c>
      <c r="F33" s="6" t="s">
        <v>145</v>
      </c>
      <c r="G33" s="6"/>
      <c r="H33" s="6"/>
    </row>
    <row r="34" spans="1:8" x14ac:dyDescent="0.3">
      <c r="A34" s="7">
        <v>46169</v>
      </c>
      <c r="B34" s="6" t="s">
        <v>143</v>
      </c>
      <c r="C34" s="6" t="s">
        <v>54</v>
      </c>
      <c r="D34" s="6" t="s">
        <v>147</v>
      </c>
      <c r="E34" s="10">
        <v>2150</v>
      </c>
      <c r="F34" s="6" t="s">
        <v>145</v>
      </c>
      <c r="G34" s="6"/>
      <c r="H34" s="6"/>
    </row>
    <row r="35" spans="1:8" x14ac:dyDescent="0.3">
      <c r="A35" s="7">
        <v>46169</v>
      </c>
      <c r="B35" s="6" t="s">
        <v>143</v>
      </c>
      <c r="C35" s="6" t="s">
        <v>60</v>
      </c>
      <c r="D35" s="6" t="s">
        <v>144</v>
      </c>
      <c r="E35" s="10">
        <v>2880</v>
      </c>
      <c r="F35" s="6" t="s">
        <v>145</v>
      </c>
      <c r="G35" s="6"/>
      <c r="H35" s="6"/>
    </row>
    <row r="36" spans="1:8" x14ac:dyDescent="0.3">
      <c r="A36" s="7">
        <v>46169</v>
      </c>
      <c r="B36" s="6" t="s">
        <v>143</v>
      </c>
      <c r="C36" s="6" t="s">
        <v>60</v>
      </c>
      <c r="D36" s="6" t="s">
        <v>146</v>
      </c>
      <c r="E36" s="10">
        <v>2100</v>
      </c>
      <c r="F36" s="6" t="s">
        <v>145</v>
      </c>
      <c r="G36" s="6"/>
      <c r="H36" s="6"/>
    </row>
    <row r="37" spans="1:8" x14ac:dyDescent="0.3">
      <c r="A37" s="7">
        <v>46169</v>
      </c>
      <c r="B37" s="6" t="s">
        <v>143</v>
      </c>
      <c r="C37" s="6" t="s">
        <v>60</v>
      </c>
      <c r="D37" s="6" t="s">
        <v>147</v>
      </c>
      <c r="E37" s="10">
        <v>1720</v>
      </c>
      <c r="F37" s="6" t="s">
        <v>145</v>
      </c>
      <c r="G37" s="6"/>
      <c r="H37" s="6"/>
    </row>
    <row r="38" spans="1:8" x14ac:dyDescent="0.3">
      <c r="A38" s="7">
        <v>46170</v>
      </c>
      <c r="B38" s="6" t="s">
        <v>148</v>
      </c>
      <c r="C38" s="6" t="s">
        <v>39</v>
      </c>
      <c r="D38" s="6" t="s">
        <v>149</v>
      </c>
      <c r="E38" s="10">
        <v>-17800</v>
      </c>
      <c r="F38" s="6" t="s">
        <v>150</v>
      </c>
      <c r="G38" s="6"/>
      <c r="H38" s="6"/>
    </row>
    <row r="39" spans="1:8" x14ac:dyDescent="0.3">
      <c r="A39" s="7">
        <v>46170</v>
      </c>
      <c r="B39" s="6" t="s">
        <v>148</v>
      </c>
      <c r="C39" s="6" t="s">
        <v>54</v>
      </c>
      <c r="D39" s="6" t="s">
        <v>149</v>
      </c>
      <c r="E39" s="10">
        <v>-14600</v>
      </c>
      <c r="F39" s="6" t="s">
        <v>150</v>
      </c>
      <c r="G39" s="6"/>
      <c r="H39" s="6"/>
    </row>
    <row r="40" spans="1:8" x14ac:dyDescent="0.3">
      <c r="A40" s="7">
        <v>46170</v>
      </c>
      <c r="B40" s="6" t="s">
        <v>148</v>
      </c>
      <c r="C40" s="6" t="s">
        <v>60</v>
      </c>
      <c r="D40" s="6" t="s">
        <v>149</v>
      </c>
      <c r="E40" s="10">
        <v>-15400</v>
      </c>
      <c r="F40" s="6" t="s">
        <v>150</v>
      </c>
      <c r="G40" s="6"/>
      <c r="H40" s="6"/>
    </row>
    <row r="41" spans="1:8" x14ac:dyDescent="0.3">
      <c r="A41" s="7">
        <v>46174</v>
      </c>
      <c r="B41" s="6" t="s">
        <v>151</v>
      </c>
      <c r="C41" s="6" t="s">
        <v>39</v>
      </c>
      <c r="D41" s="6" t="s">
        <v>152</v>
      </c>
      <c r="E41" s="10">
        <v>-3200</v>
      </c>
      <c r="F41" s="6" t="s">
        <v>124</v>
      </c>
      <c r="G41" s="6"/>
      <c r="H41" s="6"/>
    </row>
    <row r="42" spans="1:8" x14ac:dyDescent="0.3">
      <c r="A42" s="7">
        <v>46174</v>
      </c>
      <c r="B42" s="6" t="s">
        <v>151</v>
      </c>
      <c r="C42" s="6" t="s">
        <v>54</v>
      </c>
      <c r="D42" s="6" t="s">
        <v>152</v>
      </c>
      <c r="E42" s="10">
        <v>-2900</v>
      </c>
      <c r="F42" s="6" t="s">
        <v>124</v>
      </c>
      <c r="G42" s="6"/>
      <c r="H42" s="6"/>
    </row>
    <row r="43" spans="1:8" x14ac:dyDescent="0.3">
      <c r="A43" s="7">
        <v>46174</v>
      </c>
      <c r="B43" s="6" t="s">
        <v>151</v>
      </c>
      <c r="C43" s="6" t="s">
        <v>60</v>
      </c>
      <c r="D43" s="6" t="s">
        <v>152</v>
      </c>
      <c r="E43" s="10">
        <v>-2700</v>
      </c>
      <c r="F43" s="6" t="s">
        <v>124</v>
      </c>
      <c r="G43" s="6"/>
      <c r="H43" s="6"/>
    </row>
    <row r="44" spans="1:8" x14ac:dyDescent="0.3">
      <c r="A44" s="7">
        <v>46176</v>
      </c>
      <c r="B44" s="6" t="s">
        <v>153</v>
      </c>
      <c r="C44" s="6" t="s">
        <v>39</v>
      </c>
      <c r="D44" s="6" t="s">
        <v>126</v>
      </c>
      <c r="E44" s="10">
        <v>-678.4</v>
      </c>
      <c r="F44" s="6" t="s">
        <v>127</v>
      </c>
      <c r="G44" s="6"/>
      <c r="H44" s="6"/>
    </row>
    <row r="45" spans="1:8" x14ac:dyDescent="0.3">
      <c r="A45" s="7">
        <v>46176</v>
      </c>
      <c r="B45" s="6" t="s">
        <v>153</v>
      </c>
      <c r="C45" s="6" t="s">
        <v>54</v>
      </c>
      <c r="D45" s="6" t="s">
        <v>126</v>
      </c>
      <c r="E45" s="10">
        <v>-551.20000000000005</v>
      </c>
      <c r="F45" s="6" t="s">
        <v>127</v>
      </c>
      <c r="G45" s="6"/>
      <c r="H45" s="6"/>
    </row>
    <row r="46" spans="1:8" x14ac:dyDescent="0.3">
      <c r="A46" s="7">
        <v>46176</v>
      </c>
      <c r="B46" s="6" t="s">
        <v>153</v>
      </c>
      <c r="C46" s="6" t="s">
        <v>60</v>
      </c>
      <c r="D46" s="6" t="s">
        <v>126</v>
      </c>
      <c r="E46" s="10">
        <v>-614.79999999999995</v>
      </c>
      <c r="F46" s="6" t="s">
        <v>127</v>
      </c>
      <c r="G46" s="6"/>
      <c r="H46" s="6"/>
    </row>
    <row r="47" spans="1:8" x14ac:dyDescent="0.3">
      <c r="A47" s="7">
        <v>46183</v>
      </c>
      <c r="B47" s="6" t="s">
        <v>154</v>
      </c>
      <c r="C47" s="6" t="s">
        <v>39</v>
      </c>
      <c r="D47" s="6" t="s">
        <v>155</v>
      </c>
      <c r="E47" s="10">
        <v>-1377</v>
      </c>
      <c r="F47" s="6" t="s">
        <v>130</v>
      </c>
      <c r="G47" s="6" t="s">
        <v>65</v>
      </c>
      <c r="H47" s="6"/>
    </row>
    <row r="48" spans="1:8" x14ac:dyDescent="0.3">
      <c r="A48" s="7">
        <v>46183</v>
      </c>
      <c r="B48" s="6" t="s">
        <v>154</v>
      </c>
      <c r="C48" s="6" t="s">
        <v>54</v>
      </c>
      <c r="D48" s="6" t="s">
        <v>155</v>
      </c>
      <c r="E48" s="10">
        <v>-1285.2</v>
      </c>
      <c r="F48" s="6" t="s">
        <v>130</v>
      </c>
      <c r="G48" s="6" t="s">
        <v>73</v>
      </c>
      <c r="H48" s="6"/>
    </row>
    <row r="49" spans="1:8" x14ac:dyDescent="0.3">
      <c r="A49" s="7">
        <v>46183</v>
      </c>
      <c r="B49" s="6" t="s">
        <v>154</v>
      </c>
      <c r="C49" s="6" t="s">
        <v>60</v>
      </c>
      <c r="D49" s="6" t="s">
        <v>155</v>
      </c>
      <c r="E49" s="10">
        <v>-1198.5</v>
      </c>
      <c r="F49" s="6" t="s">
        <v>130</v>
      </c>
      <c r="G49" s="6" t="s">
        <v>78</v>
      </c>
      <c r="H49" s="6"/>
    </row>
    <row r="50" spans="1:8" x14ac:dyDescent="0.3">
      <c r="A50" s="7">
        <v>46185</v>
      </c>
      <c r="B50" s="6" t="s">
        <v>156</v>
      </c>
      <c r="C50" s="6" t="s">
        <v>39</v>
      </c>
      <c r="D50" s="6" t="s">
        <v>132</v>
      </c>
      <c r="E50" s="10">
        <v>-1767.5</v>
      </c>
      <c r="F50" s="6" t="s">
        <v>130</v>
      </c>
      <c r="G50" s="6" t="s">
        <v>68</v>
      </c>
      <c r="H50" s="6"/>
    </row>
    <row r="51" spans="1:8" x14ac:dyDescent="0.3">
      <c r="A51" s="7">
        <v>46185</v>
      </c>
      <c r="B51" s="6" t="s">
        <v>156</v>
      </c>
      <c r="C51" s="6" t="s">
        <v>54</v>
      </c>
      <c r="D51" s="6" t="s">
        <v>132</v>
      </c>
      <c r="E51" s="10">
        <v>-1610.95</v>
      </c>
      <c r="F51" s="6" t="s">
        <v>130</v>
      </c>
      <c r="G51" s="6" t="s">
        <v>74</v>
      </c>
      <c r="H51" s="6"/>
    </row>
    <row r="52" spans="1:8" x14ac:dyDescent="0.3">
      <c r="A52" s="7">
        <v>46185</v>
      </c>
      <c r="B52" s="6" t="s">
        <v>156</v>
      </c>
      <c r="C52" s="6" t="s">
        <v>60</v>
      </c>
      <c r="D52" s="6" t="s">
        <v>132</v>
      </c>
      <c r="E52" s="10">
        <v>-1565.5</v>
      </c>
      <c r="F52" s="6" t="s">
        <v>130</v>
      </c>
      <c r="G52" s="6" t="s">
        <v>79</v>
      </c>
      <c r="H52" s="6"/>
    </row>
    <row r="53" spans="1:8" x14ac:dyDescent="0.3">
      <c r="A53" s="7">
        <v>46187</v>
      </c>
      <c r="B53" s="6" t="s">
        <v>157</v>
      </c>
      <c r="C53" s="6" t="s">
        <v>39</v>
      </c>
      <c r="D53" s="6" t="s">
        <v>134</v>
      </c>
      <c r="E53" s="10">
        <v>-397.8</v>
      </c>
      <c r="F53" s="6" t="s">
        <v>130</v>
      </c>
      <c r="G53" s="6" t="s">
        <v>71</v>
      </c>
      <c r="H53" s="6"/>
    </row>
    <row r="54" spans="1:8" x14ac:dyDescent="0.3">
      <c r="A54" s="7">
        <v>46187</v>
      </c>
      <c r="B54" s="6" t="s">
        <v>157</v>
      </c>
      <c r="C54" s="6" t="s">
        <v>54</v>
      </c>
      <c r="D54" s="6" t="s">
        <v>134</v>
      </c>
      <c r="E54" s="10">
        <v>-367.2</v>
      </c>
      <c r="F54" s="6" t="s">
        <v>130</v>
      </c>
      <c r="G54" s="6" t="s">
        <v>76</v>
      </c>
      <c r="H54" s="6"/>
    </row>
    <row r="55" spans="1:8" x14ac:dyDescent="0.3">
      <c r="A55" s="7">
        <v>46187</v>
      </c>
      <c r="B55" s="6" t="s">
        <v>157</v>
      </c>
      <c r="C55" s="6" t="s">
        <v>60</v>
      </c>
      <c r="D55" s="6" t="s">
        <v>134</v>
      </c>
      <c r="E55" s="10">
        <v>-336.6</v>
      </c>
      <c r="F55" s="6" t="s">
        <v>130</v>
      </c>
      <c r="G55" s="6" t="s">
        <v>81</v>
      </c>
      <c r="H55" s="6"/>
    </row>
    <row r="56" spans="1:8" x14ac:dyDescent="0.3">
      <c r="A56" s="7">
        <v>46189</v>
      </c>
      <c r="B56" s="6" t="s">
        <v>158</v>
      </c>
      <c r="C56" s="6" t="s">
        <v>39</v>
      </c>
      <c r="D56" s="6" t="s">
        <v>136</v>
      </c>
      <c r="E56" s="10">
        <v>-900</v>
      </c>
      <c r="F56" s="6" t="s">
        <v>130</v>
      </c>
      <c r="G56" s="6" t="s">
        <v>69</v>
      </c>
      <c r="H56" s="6"/>
    </row>
    <row r="57" spans="1:8" x14ac:dyDescent="0.3">
      <c r="A57" s="7">
        <v>46189</v>
      </c>
      <c r="B57" s="6" t="s">
        <v>158</v>
      </c>
      <c r="C57" s="6" t="s">
        <v>54</v>
      </c>
      <c r="D57" s="6" t="s">
        <v>136</v>
      </c>
      <c r="E57" s="10">
        <v>-1008</v>
      </c>
      <c r="F57" s="6" t="s">
        <v>130</v>
      </c>
      <c r="G57" s="6" t="s">
        <v>75</v>
      </c>
      <c r="H57" s="6"/>
    </row>
    <row r="58" spans="1:8" x14ac:dyDescent="0.3">
      <c r="A58" s="7">
        <v>46189</v>
      </c>
      <c r="B58" s="6" t="s">
        <v>158</v>
      </c>
      <c r="C58" s="6" t="s">
        <v>60</v>
      </c>
      <c r="D58" s="6" t="s">
        <v>136</v>
      </c>
      <c r="E58" s="10">
        <v>-912</v>
      </c>
      <c r="F58" s="6" t="s">
        <v>130</v>
      </c>
      <c r="G58" s="6" t="s">
        <v>80</v>
      </c>
      <c r="H58" s="6"/>
    </row>
    <row r="59" spans="1:8" x14ac:dyDescent="0.3">
      <c r="A59" s="7">
        <v>46191</v>
      </c>
      <c r="B59" s="6" t="s">
        <v>159</v>
      </c>
      <c r="C59" s="6" t="s">
        <v>39</v>
      </c>
      <c r="D59" s="6" t="s">
        <v>138</v>
      </c>
      <c r="E59" s="10">
        <v>-372</v>
      </c>
      <c r="F59" s="6" t="s">
        <v>130</v>
      </c>
      <c r="G59" s="6" t="s">
        <v>72</v>
      </c>
      <c r="H59" s="6"/>
    </row>
    <row r="60" spans="1:8" x14ac:dyDescent="0.3">
      <c r="A60" s="7">
        <v>46191</v>
      </c>
      <c r="B60" s="6" t="s">
        <v>159</v>
      </c>
      <c r="C60" s="6" t="s">
        <v>54</v>
      </c>
      <c r="D60" s="6" t="s">
        <v>138</v>
      </c>
      <c r="E60" s="10">
        <v>-354</v>
      </c>
      <c r="F60" s="6" t="s">
        <v>130</v>
      </c>
      <c r="G60" s="6" t="s">
        <v>77</v>
      </c>
      <c r="H60" s="6"/>
    </row>
    <row r="61" spans="1:8" x14ac:dyDescent="0.3">
      <c r="A61" s="7">
        <v>46191</v>
      </c>
      <c r="B61" s="6" t="s">
        <v>159</v>
      </c>
      <c r="C61" s="6" t="s">
        <v>60</v>
      </c>
      <c r="D61" s="6" t="s">
        <v>138</v>
      </c>
      <c r="E61" s="10">
        <v>-336</v>
      </c>
      <c r="F61" s="6" t="s">
        <v>130</v>
      </c>
      <c r="G61" s="6" t="s">
        <v>82</v>
      </c>
      <c r="H61" s="6"/>
    </row>
    <row r="62" spans="1:8" x14ac:dyDescent="0.3">
      <c r="A62" s="7">
        <v>46194</v>
      </c>
      <c r="B62" s="6" t="s">
        <v>160</v>
      </c>
      <c r="C62" s="6" t="s">
        <v>60</v>
      </c>
      <c r="D62" s="6" t="s">
        <v>140</v>
      </c>
      <c r="E62" s="10">
        <v>-410</v>
      </c>
      <c r="F62" s="6" t="s">
        <v>130</v>
      </c>
      <c r="G62" s="6"/>
      <c r="H62" s="6" t="s">
        <v>161</v>
      </c>
    </row>
    <row r="63" spans="1:8" x14ac:dyDescent="0.3">
      <c r="A63" s="7">
        <v>46197</v>
      </c>
      <c r="B63" s="6" t="s">
        <v>162</v>
      </c>
      <c r="C63" s="6" t="s">
        <v>39</v>
      </c>
      <c r="D63" s="6" t="s">
        <v>163</v>
      </c>
      <c r="E63" s="10">
        <v>-720</v>
      </c>
      <c r="F63" s="6" t="s">
        <v>130</v>
      </c>
      <c r="G63" s="6" t="s">
        <v>111</v>
      </c>
      <c r="H63" s="6"/>
    </row>
    <row r="64" spans="1:8" x14ac:dyDescent="0.3">
      <c r="A64" s="7">
        <v>46200</v>
      </c>
      <c r="B64" s="6" t="s">
        <v>164</v>
      </c>
      <c r="C64" s="6" t="s">
        <v>39</v>
      </c>
      <c r="D64" s="6" t="s">
        <v>144</v>
      </c>
      <c r="E64" s="10">
        <v>6489</v>
      </c>
      <c r="F64" s="6" t="s">
        <v>145</v>
      </c>
      <c r="G64" s="6"/>
      <c r="H64" s="6"/>
    </row>
    <row r="65" spans="1:8" x14ac:dyDescent="0.3">
      <c r="A65" s="7">
        <v>46200</v>
      </c>
      <c r="B65" s="6" t="s">
        <v>164</v>
      </c>
      <c r="C65" s="6" t="s">
        <v>39</v>
      </c>
      <c r="D65" s="6" t="s">
        <v>146</v>
      </c>
      <c r="E65" s="10">
        <v>3965.5</v>
      </c>
      <c r="F65" s="6" t="s">
        <v>145</v>
      </c>
      <c r="G65" s="6"/>
      <c r="H65" s="6"/>
    </row>
    <row r="66" spans="1:8" x14ac:dyDescent="0.3">
      <c r="A66" s="7">
        <v>46200</v>
      </c>
      <c r="B66" s="6" t="s">
        <v>164</v>
      </c>
      <c r="C66" s="6" t="s">
        <v>39</v>
      </c>
      <c r="D66" s="6" t="s">
        <v>147</v>
      </c>
      <c r="E66" s="10">
        <v>2657.4</v>
      </c>
      <c r="F66" s="6" t="s">
        <v>145</v>
      </c>
      <c r="G66" s="6"/>
      <c r="H66" s="6"/>
    </row>
    <row r="67" spans="1:8" x14ac:dyDescent="0.3">
      <c r="A67" s="7">
        <v>46200</v>
      </c>
      <c r="B67" s="6" t="s">
        <v>164</v>
      </c>
      <c r="C67" s="6" t="s">
        <v>54</v>
      </c>
      <c r="D67" s="6" t="s">
        <v>144</v>
      </c>
      <c r="E67" s="10">
        <v>7931</v>
      </c>
      <c r="F67" s="6" t="s">
        <v>145</v>
      </c>
      <c r="G67" s="6"/>
      <c r="H67" s="6"/>
    </row>
    <row r="68" spans="1:8" x14ac:dyDescent="0.3">
      <c r="A68" s="7">
        <v>46200</v>
      </c>
      <c r="B68" s="6" t="s">
        <v>164</v>
      </c>
      <c r="C68" s="6" t="s">
        <v>54</v>
      </c>
      <c r="D68" s="6" t="s">
        <v>146</v>
      </c>
      <c r="E68" s="10">
        <v>5768</v>
      </c>
      <c r="F68" s="6" t="s">
        <v>145</v>
      </c>
      <c r="G68" s="6"/>
      <c r="H68" s="6"/>
    </row>
    <row r="69" spans="1:8" x14ac:dyDescent="0.3">
      <c r="A69" s="7">
        <v>46200</v>
      </c>
      <c r="B69" s="6" t="s">
        <v>164</v>
      </c>
      <c r="C69" s="6" t="s">
        <v>54</v>
      </c>
      <c r="D69" s="6" t="s">
        <v>147</v>
      </c>
      <c r="E69" s="10">
        <v>2214.5</v>
      </c>
      <c r="F69" s="6" t="s">
        <v>145</v>
      </c>
      <c r="G69" s="6"/>
      <c r="H69" s="6"/>
    </row>
    <row r="70" spans="1:8" x14ac:dyDescent="0.3">
      <c r="A70" s="7">
        <v>46200</v>
      </c>
      <c r="B70" s="6" t="s">
        <v>164</v>
      </c>
      <c r="C70" s="6" t="s">
        <v>60</v>
      </c>
      <c r="D70" s="6" t="s">
        <v>144</v>
      </c>
      <c r="E70" s="10">
        <v>2884</v>
      </c>
      <c r="F70" s="6" t="s">
        <v>145</v>
      </c>
      <c r="G70" s="6"/>
      <c r="H70" s="6"/>
    </row>
    <row r="71" spans="1:8" x14ac:dyDescent="0.3">
      <c r="A71" s="7">
        <v>46200</v>
      </c>
      <c r="B71" s="6" t="s">
        <v>164</v>
      </c>
      <c r="C71" s="6" t="s">
        <v>60</v>
      </c>
      <c r="D71" s="6" t="s">
        <v>146</v>
      </c>
      <c r="E71" s="10">
        <v>2163</v>
      </c>
      <c r="F71" s="6" t="s">
        <v>145</v>
      </c>
      <c r="G71" s="6"/>
      <c r="H71" s="6"/>
    </row>
    <row r="72" spans="1:8" x14ac:dyDescent="0.3">
      <c r="A72" s="7">
        <v>46200</v>
      </c>
      <c r="B72" s="6" t="s">
        <v>164</v>
      </c>
      <c r="C72" s="6" t="s">
        <v>60</v>
      </c>
      <c r="D72" s="6" t="s">
        <v>147</v>
      </c>
      <c r="E72" s="10">
        <v>1771.6</v>
      </c>
      <c r="F72" s="6" t="s">
        <v>145</v>
      </c>
      <c r="G72" s="6"/>
      <c r="H72" s="6"/>
    </row>
    <row r="73" spans="1:8" x14ac:dyDescent="0.3">
      <c r="A73" s="7">
        <v>46201</v>
      </c>
      <c r="B73" s="6" t="s">
        <v>165</v>
      </c>
      <c r="C73" s="6" t="s">
        <v>39</v>
      </c>
      <c r="D73" s="6" t="s">
        <v>149</v>
      </c>
      <c r="E73" s="10">
        <v>-17950</v>
      </c>
      <c r="F73" s="6" t="s">
        <v>150</v>
      </c>
      <c r="G73" s="6"/>
      <c r="H73" s="6"/>
    </row>
    <row r="74" spans="1:8" x14ac:dyDescent="0.3">
      <c r="A74" s="7">
        <v>46201</v>
      </c>
      <c r="B74" s="6" t="s">
        <v>165</v>
      </c>
      <c r="C74" s="6" t="s">
        <v>54</v>
      </c>
      <c r="D74" s="6" t="s">
        <v>149</v>
      </c>
      <c r="E74" s="10">
        <v>-14700</v>
      </c>
      <c r="F74" s="6" t="s">
        <v>150</v>
      </c>
      <c r="G74" s="6"/>
      <c r="H74" s="6"/>
    </row>
    <row r="75" spans="1:8" x14ac:dyDescent="0.3">
      <c r="A75" s="7">
        <v>46201</v>
      </c>
      <c r="B75" s="6" t="s">
        <v>165</v>
      </c>
      <c r="C75" s="6" t="s">
        <v>60</v>
      </c>
      <c r="D75" s="6" t="s">
        <v>149</v>
      </c>
      <c r="E75" s="10">
        <v>-15500</v>
      </c>
      <c r="F75" s="6" t="s">
        <v>150</v>
      </c>
      <c r="G75" s="6"/>
      <c r="H75" s="6"/>
    </row>
    <row r="76" spans="1:8" x14ac:dyDescent="0.3">
      <c r="A76" s="7">
        <v>46204</v>
      </c>
      <c r="B76" s="6" t="s">
        <v>166</v>
      </c>
      <c r="C76" s="6" t="s">
        <v>39</v>
      </c>
      <c r="D76" s="6" t="s">
        <v>167</v>
      </c>
      <c r="E76" s="10">
        <v>-3200</v>
      </c>
      <c r="F76" s="6" t="s">
        <v>124</v>
      </c>
      <c r="G76" s="6"/>
      <c r="H76" s="6"/>
    </row>
    <row r="77" spans="1:8" x14ac:dyDescent="0.3">
      <c r="A77" s="7">
        <v>46204</v>
      </c>
      <c r="B77" s="6" t="s">
        <v>166</v>
      </c>
      <c r="C77" s="6" t="s">
        <v>54</v>
      </c>
      <c r="D77" s="6" t="s">
        <v>167</v>
      </c>
      <c r="E77" s="10">
        <v>-2900</v>
      </c>
      <c r="F77" s="6" t="s">
        <v>124</v>
      </c>
      <c r="G77" s="6"/>
      <c r="H77" s="6"/>
    </row>
    <row r="78" spans="1:8" x14ac:dyDescent="0.3">
      <c r="A78" s="7">
        <v>46204</v>
      </c>
      <c r="B78" s="6" t="s">
        <v>166</v>
      </c>
      <c r="C78" s="6" t="s">
        <v>60</v>
      </c>
      <c r="D78" s="6" t="s">
        <v>167</v>
      </c>
      <c r="E78" s="10">
        <v>-2700</v>
      </c>
      <c r="F78" s="6" t="s">
        <v>124</v>
      </c>
      <c r="G78" s="6"/>
      <c r="H78" s="6"/>
    </row>
    <row r="79" spans="1:8" x14ac:dyDescent="0.3">
      <c r="A79" s="7">
        <v>46206</v>
      </c>
      <c r="B79" s="6" t="s">
        <v>168</v>
      </c>
      <c r="C79" s="6" t="s">
        <v>39</v>
      </c>
      <c r="D79" s="6" t="s">
        <v>126</v>
      </c>
      <c r="E79" s="10">
        <v>-780.8</v>
      </c>
      <c r="F79" s="6" t="s">
        <v>127</v>
      </c>
      <c r="G79" s="6"/>
      <c r="H79" s="6"/>
    </row>
    <row r="80" spans="1:8" x14ac:dyDescent="0.3">
      <c r="A80" s="7">
        <v>46206</v>
      </c>
      <c r="B80" s="6" t="s">
        <v>168</v>
      </c>
      <c r="C80" s="6" t="s">
        <v>54</v>
      </c>
      <c r="D80" s="6" t="s">
        <v>126</v>
      </c>
      <c r="E80" s="10">
        <v>-634.4</v>
      </c>
      <c r="F80" s="6" t="s">
        <v>127</v>
      </c>
      <c r="G80" s="6"/>
      <c r="H80" s="6"/>
    </row>
    <row r="81" spans="1:8" x14ac:dyDescent="0.3">
      <c r="A81" s="7">
        <v>46206</v>
      </c>
      <c r="B81" s="6" t="s">
        <v>168</v>
      </c>
      <c r="C81" s="6" t="s">
        <v>60</v>
      </c>
      <c r="D81" s="6" t="s">
        <v>126</v>
      </c>
      <c r="E81" s="10">
        <v>-707.6</v>
      </c>
      <c r="F81" s="6" t="s">
        <v>127</v>
      </c>
      <c r="G81" s="6"/>
      <c r="H81" s="6"/>
    </row>
    <row r="82" spans="1:8" x14ac:dyDescent="0.3">
      <c r="A82" s="7">
        <v>46213</v>
      </c>
      <c r="B82" s="6" t="s">
        <v>169</v>
      </c>
      <c r="C82" s="6" t="s">
        <v>39</v>
      </c>
      <c r="D82" s="6" t="s">
        <v>155</v>
      </c>
      <c r="E82" s="10">
        <v>-1417.5</v>
      </c>
      <c r="F82" s="6" t="s">
        <v>130</v>
      </c>
      <c r="G82" s="6" t="s">
        <v>83</v>
      </c>
      <c r="H82" s="6"/>
    </row>
    <row r="83" spans="1:8" x14ac:dyDescent="0.3">
      <c r="A83" s="7">
        <v>46213</v>
      </c>
      <c r="B83" s="6" t="s">
        <v>169</v>
      </c>
      <c r="C83" s="6" t="s">
        <v>54</v>
      </c>
      <c r="D83" s="6" t="s">
        <v>155</v>
      </c>
      <c r="E83" s="10">
        <v>-1323</v>
      </c>
      <c r="F83" s="6" t="s">
        <v>130</v>
      </c>
      <c r="G83" s="6" t="s">
        <v>91</v>
      </c>
      <c r="H83" s="6"/>
    </row>
    <row r="84" spans="1:8" x14ac:dyDescent="0.3">
      <c r="A84" s="7">
        <v>46213</v>
      </c>
      <c r="B84" s="6" t="s">
        <v>169</v>
      </c>
      <c r="C84" s="6" t="s">
        <v>60</v>
      </c>
      <c r="D84" s="6" t="s">
        <v>155</v>
      </c>
      <c r="E84" s="10">
        <v>-1233.75</v>
      </c>
      <c r="F84" s="6" t="s">
        <v>130</v>
      </c>
      <c r="G84" s="6" t="s">
        <v>96</v>
      </c>
      <c r="H84" s="6"/>
    </row>
    <row r="85" spans="1:8" x14ac:dyDescent="0.3">
      <c r="A85" s="7">
        <v>46215</v>
      </c>
      <c r="B85" s="6" t="s">
        <v>170</v>
      </c>
      <c r="C85" s="6" t="s">
        <v>39</v>
      </c>
      <c r="D85" s="6" t="s">
        <v>132</v>
      </c>
      <c r="E85" s="10">
        <v>-2082.5</v>
      </c>
      <c r="F85" s="6" t="s">
        <v>130</v>
      </c>
      <c r="G85" s="6" t="s">
        <v>84</v>
      </c>
      <c r="H85" s="6"/>
    </row>
    <row r="86" spans="1:8" x14ac:dyDescent="0.3">
      <c r="A86" s="7">
        <v>46215</v>
      </c>
      <c r="B86" s="6" t="s">
        <v>170</v>
      </c>
      <c r="C86" s="6" t="s">
        <v>54</v>
      </c>
      <c r="D86" s="6" t="s">
        <v>132</v>
      </c>
      <c r="E86" s="10">
        <v>-1898.05</v>
      </c>
      <c r="F86" s="6" t="s">
        <v>130</v>
      </c>
      <c r="G86" s="6" t="s">
        <v>92</v>
      </c>
      <c r="H86" s="6"/>
    </row>
    <row r="87" spans="1:8" x14ac:dyDescent="0.3">
      <c r="A87" s="7">
        <v>46215</v>
      </c>
      <c r="B87" s="6" t="s">
        <v>170</v>
      </c>
      <c r="C87" s="6" t="s">
        <v>60</v>
      </c>
      <c r="D87" s="6" t="s">
        <v>132</v>
      </c>
      <c r="E87" s="10">
        <v>-1844.5</v>
      </c>
      <c r="F87" s="6" t="s">
        <v>130</v>
      </c>
      <c r="G87" s="6" t="s">
        <v>97</v>
      </c>
      <c r="H87" s="6"/>
    </row>
    <row r="88" spans="1:8" x14ac:dyDescent="0.3">
      <c r="A88" s="7">
        <v>46217</v>
      </c>
      <c r="B88" s="6" t="s">
        <v>171</v>
      </c>
      <c r="C88" s="6" t="s">
        <v>39</v>
      </c>
      <c r="D88" s="6" t="s">
        <v>134</v>
      </c>
      <c r="E88" s="10">
        <v>-401.7</v>
      </c>
      <c r="F88" s="6" t="s">
        <v>130</v>
      </c>
      <c r="G88" s="6" t="s">
        <v>87</v>
      </c>
      <c r="H88" s="6"/>
    </row>
    <row r="89" spans="1:8" x14ac:dyDescent="0.3">
      <c r="A89" s="7">
        <v>46217</v>
      </c>
      <c r="B89" s="6" t="s">
        <v>171</v>
      </c>
      <c r="C89" s="6" t="s">
        <v>54</v>
      </c>
      <c r="D89" s="6" t="s">
        <v>134</v>
      </c>
      <c r="E89" s="10">
        <v>-370.8</v>
      </c>
      <c r="F89" s="6" t="s">
        <v>130</v>
      </c>
      <c r="G89" s="6" t="s">
        <v>94</v>
      </c>
      <c r="H89" s="6"/>
    </row>
    <row r="90" spans="1:8" x14ac:dyDescent="0.3">
      <c r="A90" s="7">
        <v>46217</v>
      </c>
      <c r="B90" s="6" t="s">
        <v>171</v>
      </c>
      <c r="C90" s="6" t="s">
        <v>60</v>
      </c>
      <c r="D90" s="6" t="s">
        <v>134</v>
      </c>
      <c r="E90" s="10">
        <v>-339.9</v>
      </c>
      <c r="F90" s="6" t="s">
        <v>130</v>
      </c>
      <c r="G90" s="6" t="s">
        <v>99</v>
      </c>
      <c r="H90" s="6"/>
    </row>
    <row r="91" spans="1:8" x14ac:dyDescent="0.3">
      <c r="A91" s="7">
        <v>46219</v>
      </c>
      <c r="B91" s="6" t="s">
        <v>172</v>
      </c>
      <c r="C91" s="6" t="s">
        <v>39</v>
      </c>
      <c r="D91" s="6" t="s">
        <v>136</v>
      </c>
      <c r="E91" s="10">
        <v>-1112.4000000000001</v>
      </c>
      <c r="F91" s="6" t="s">
        <v>130</v>
      </c>
      <c r="G91" s="6" t="s">
        <v>86</v>
      </c>
      <c r="H91" s="6"/>
    </row>
    <row r="92" spans="1:8" x14ac:dyDescent="0.3">
      <c r="A92" s="7">
        <v>46219</v>
      </c>
      <c r="B92" s="6" t="s">
        <v>172</v>
      </c>
      <c r="C92" s="6" t="s">
        <v>54</v>
      </c>
      <c r="D92" s="6" t="s">
        <v>136</v>
      </c>
      <c r="E92" s="10">
        <v>-1038.24</v>
      </c>
      <c r="F92" s="6" t="s">
        <v>130</v>
      </c>
      <c r="G92" s="6" t="s">
        <v>93</v>
      </c>
      <c r="H92" s="6"/>
    </row>
    <row r="93" spans="1:8" x14ac:dyDescent="0.3">
      <c r="A93" s="7">
        <v>46219</v>
      </c>
      <c r="B93" s="6" t="s">
        <v>172</v>
      </c>
      <c r="C93" s="6" t="s">
        <v>60</v>
      </c>
      <c r="D93" s="6" t="s">
        <v>136</v>
      </c>
      <c r="E93" s="10">
        <v>-939.36</v>
      </c>
      <c r="F93" s="6" t="s">
        <v>130</v>
      </c>
      <c r="G93" s="6" t="s">
        <v>98</v>
      </c>
      <c r="H93" s="6"/>
    </row>
    <row r="94" spans="1:8" x14ac:dyDescent="0.3">
      <c r="A94" s="7">
        <v>46221</v>
      </c>
      <c r="B94" s="6" t="s">
        <v>173</v>
      </c>
      <c r="C94" s="6" t="s">
        <v>39</v>
      </c>
      <c r="D94" s="6" t="s">
        <v>138</v>
      </c>
      <c r="E94" s="10">
        <v>-372</v>
      </c>
      <c r="F94" s="6" t="s">
        <v>130</v>
      </c>
      <c r="G94" s="6" t="s">
        <v>88</v>
      </c>
      <c r="H94" s="6"/>
    </row>
    <row r="95" spans="1:8" x14ac:dyDescent="0.3">
      <c r="A95" s="7">
        <v>46221</v>
      </c>
      <c r="B95" s="6" t="s">
        <v>173</v>
      </c>
      <c r="C95" s="6" t="s">
        <v>54</v>
      </c>
      <c r="D95" s="6" t="s">
        <v>138</v>
      </c>
      <c r="E95" s="10">
        <v>-354</v>
      </c>
      <c r="F95" s="6" t="s">
        <v>130</v>
      </c>
      <c r="G95" s="6" t="s">
        <v>95</v>
      </c>
      <c r="H95" s="6"/>
    </row>
    <row r="96" spans="1:8" x14ac:dyDescent="0.3">
      <c r="A96" s="7">
        <v>46221</v>
      </c>
      <c r="B96" s="6" t="s">
        <v>173</v>
      </c>
      <c r="C96" s="6" t="s">
        <v>60</v>
      </c>
      <c r="D96" s="6" t="s">
        <v>138</v>
      </c>
      <c r="E96" s="10">
        <v>-336</v>
      </c>
      <c r="F96" s="6" t="s">
        <v>130</v>
      </c>
      <c r="G96" s="6" t="s">
        <v>100</v>
      </c>
      <c r="H96" s="6"/>
    </row>
    <row r="97" spans="1:8" x14ac:dyDescent="0.3">
      <c r="A97" s="7">
        <v>46224</v>
      </c>
      <c r="B97" s="6" t="s">
        <v>174</v>
      </c>
      <c r="C97" s="6" t="s">
        <v>60</v>
      </c>
      <c r="D97" s="6" t="s">
        <v>140</v>
      </c>
      <c r="E97" s="10">
        <v>-492</v>
      </c>
      <c r="F97" s="6" t="s">
        <v>130</v>
      </c>
      <c r="G97" s="6" t="s">
        <v>103</v>
      </c>
      <c r="H97" s="6"/>
    </row>
    <row r="98" spans="1:8" x14ac:dyDescent="0.3">
      <c r="A98" s="7">
        <v>46230</v>
      </c>
      <c r="B98" s="6" t="s">
        <v>175</v>
      </c>
      <c r="C98" s="6" t="s">
        <v>39</v>
      </c>
      <c r="D98" s="6" t="s">
        <v>144</v>
      </c>
      <c r="E98" s="10">
        <v>6930</v>
      </c>
      <c r="F98" s="6" t="s">
        <v>145</v>
      </c>
      <c r="G98" s="6"/>
      <c r="H98" s="6" t="s">
        <v>176</v>
      </c>
    </row>
    <row r="99" spans="1:8" x14ac:dyDescent="0.3">
      <c r="A99" s="7">
        <v>46230</v>
      </c>
      <c r="B99" s="6" t="s">
        <v>177</v>
      </c>
      <c r="C99" s="6" t="s">
        <v>39</v>
      </c>
      <c r="D99" s="6" t="s">
        <v>146</v>
      </c>
      <c r="E99" s="10">
        <v>4235</v>
      </c>
      <c r="F99" s="6" t="s">
        <v>145</v>
      </c>
      <c r="G99" s="6"/>
      <c r="H99" s="6"/>
    </row>
    <row r="100" spans="1:8" x14ac:dyDescent="0.3">
      <c r="A100" s="7">
        <v>46230</v>
      </c>
      <c r="B100" s="6" t="s">
        <v>177</v>
      </c>
      <c r="C100" s="6" t="s">
        <v>39</v>
      </c>
      <c r="D100" s="6" t="s">
        <v>147</v>
      </c>
      <c r="E100" s="10">
        <v>2838</v>
      </c>
      <c r="F100" s="6" t="s">
        <v>145</v>
      </c>
      <c r="G100" s="6"/>
      <c r="H100" s="6"/>
    </row>
    <row r="101" spans="1:8" x14ac:dyDescent="0.3">
      <c r="A101" s="7">
        <v>46230</v>
      </c>
      <c r="B101" s="6" t="s">
        <v>177</v>
      </c>
      <c r="C101" s="6" t="s">
        <v>54</v>
      </c>
      <c r="D101" s="6" t="s">
        <v>144</v>
      </c>
      <c r="E101" s="10">
        <v>8624</v>
      </c>
      <c r="F101" s="6" t="s">
        <v>145</v>
      </c>
      <c r="G101" s="6"/>
      <c r="H101" s="6"/>
    </row>
    <row r="102" spans="1:8" x14ac:dyDescent="0.3">
      <c r="A102" s="7">
        <v>46230</v>
      </c>
      <c r="B102" s="6" t="s">
        <v>177</v>
      </c>
      <c r="C102" s="6" t="s">
        <v>54</v>
      </c>
      <c r="D102" s="6" t="s">
        <v>146</v>
      </c>
      <c r="E102" s="10">
        <v>6272</v>
      </c>
      <c r="F102" s="6" t="s">
        <v>145</v>
      </c>
      <c r="G102" s="6"/>
      <c r="H102" s="6"/>
    </row>
    <row r="103" spans="1:8" x14ac:dyDescent="0.3">
      <c r="A103" s="7">
        <v>46230</v>
      </c>
      <c r="B103" s="6" t="s">
        <v>177</v>
      </c>
      <c r="C103" s="6" t="s">
        <v>54</v>
      </c>
      <c r="D103" s="6" t="s">
        <v>147</v>
      </c>
      <c r="E103" s="10">
        <v>2408</v>
      </c>
      <c r="F103" s="6" t="s">
        <v>145</v>
      </c>
      <c r="G103" s="6"/>
      <c r="H103" s="6"/>
    </row>
    <row r="104" spans="1:8" x14ac:dyDescent="0.3">
      <c r="A104" s="7">
        <v>46230</v>
      </c>
      <c r="B104" s="6" t="s">
        <v>177</v>
      </c>
      <c r="C104" s="6" t="s">
        <v>60</v>
      </c>
      <c r="D104" s="6" t="s">
        <v>144</v>
      </c>
      <c r="E104" s="10">
        <v>2968</v>
      </c>
      <c r="F104" s="6" t="s">
        <v>145</v>
      </c>
      <c r="G104" s="6"/>
      <c r="H104" s="6"/>
    </row>
    <row r="105" spans="1:8" x14ac:dyDescent="0.3">
      <c r="A105" s="7">
        <v>46230</v>
      </c>
      <c r="B105" s="6" t="s">
        <v>177</v>
      </c>
      <c r="C105" s="6" t="s">
        <v>60</v>
      </c>
      <c r="D105" s="6" t="s">
        <v>146</v>
      </c>
      <c r="E105" s="10">
        <v>2226</v>
      </c>
      <c r="F105" s="6" t="s">
        <v>145</v>
      </c>
      <c r="G105" s="6"/>
      <c r="H105" s="6"/>
    </row>
    <row r="106" spans="1:8" x14ac:dyDescent="0.3">
      <c r="A106" s="7">
        <v>46230</v>
      </c>
      <c r="B106" s="6" t="s">
        <v>177</v>
      </c>
      <c r="C106" s="6" t="s">
        <v>60</v>
      </c>
      <c r="D106" s="6" t="s">
        <v>147</v>
      </c>
      <c r="E106" s="10">
        <v>1823.2</v>
      </c>
      <c r="F106" s="6" t="s">
        <v>145</v>
      </c>
      <c r="G106" s="6"/>
      <c r="H106" s="6"/>
    </row>
    <row r="107" spans="1:8" x14ac:dyDescent="0.3">
      <c r="A107" s="7">
        <v>46231</v>
      </c>
      <c r="B107" s="6" t="s">
        <v>178</v>
      </c>
      <c r="C107" s="6" t="s">
        <v>39</v>
      </c>
      <c r="D107" s="6" t="s">
        <v>149</v>
      </c>
      <c r="E107" s="10">
        <v>-18950</v>
      </c>
      <c r="F107" s="6" t="s">
        <v>150</v>
      </c>
      <c r="G107" s="6"/>
      <c r="H107" s="6"/>
    </row>
    <row r="108" spans="1:8" x14ac:dyDescent="0.3">
      <c r="A108" s="7">
        <v>46231</v>
      </c>
      <c r="B108" s="6" t="s">
        <v>178</v>
      </c>
      <c r="C108" s="6" t="s">
        <v>54</v>
      </c>
      <c r="D108" s="6" t="s">
        <v>149</v>
      </c>
      <c r="E108" s="10">
        <v>-15550</v>
      </c>
      <c r="F108" s="6" t="s">
        <v>150</v>
      </c>
      <c r="G108" s="6"/>
      <c r="H108" s="6"/>
    </row>
    <row r="109" spans="1:8" x14ac:dyDescent="0.3">
      <c r="A109" s="7">
        <v>46231</v>
      </c>
      <c r="B109" s="6" t="s">
        <v>178</v>
      </c>
      <c r="C109" s="6" t="s">
        <v>60</v>
      </c>
      <c r="D109" s="6" t="s">
        <v>149</v>
      </c>
      <c r="E109" s="10">
        <v>-16350</v>
      </c>
      <c r="F109" s="6" t="s">
        <v>150</v>
      </c>
      <c r="G109" s="6"/>
      <c r="H109" s="6"/>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2"/>
  <sheetViews>
    <sheetView showGridLines="0" zoomScaleNormal="100" workbookViewId="0">
      <pane ySplit="3" topLeftCell="A4" activePane="bottomLeft" state="frozen"/>
      <selection pane="bottomLeft" activeCell="F17" sqref="F17"/>
    </sheetView>
  </sheetViews>
  <sheetFormatPr defaultColWidth="8.6640625" defaultRowHeight="14.4" x14ac:dyDescent="0.3"/>
  <cols>
    <col min="1" max="2" width="12" customWidth="1"/>
    <col min="3" max="4" width="14" customWidth="1"/>
    <col min="5" max="6" width="22" customWidth="1"/>
    <col min="7" max="7" width="18" customWidth="1"/>
    <col min="8" max="8" width="16" customWidth="1"/>
    <col min="9" max="9" width="14" customWidth="1"/>
  </cols>
  <sheetData>
    <row r="1" spans="1:9" ht="17.399999999999999" x14ac:dyDescent="0.3">
      <c r="A1" s="1" t="s">
        <v>179</v>
      </c>
    </row>
    <row r="3" spans="1:9" ht="26.4" x14ac:dyDescent="0.3">
      <c r="A3" s="5" t="s">
        <v>180</v>
      </c>
      <c r="B3" s="5" t="s">
        <v>28</v>
      </c>
      <c r="C3" s="5" t="s">
        <v>181</v>
      </c>
      <c r="D3" s="5" t="s">
        <v>182</v>
      </c>
      <c r="E3" s="5" t="s">
        <v>183</v>
      </c>
      <c r="F3" s="5" t="s">
        <v>184</v>
      </c>
      <c r="G3" s="5" t="s">
        <v>185</v>
      </c>
      <c r="H3" s="5" t="s">
        <v>186</v>
      </c>
      <c r="I3" s="5" t="s">
        <v>187</v>
      </c>
    </row>
    <row r="4" spans="1:9" x14ac:dyDescent="0.3">
      <c r="A4" s="6" t="s">
        <v>188</v>
      </c>
      <c r="B4" s="6" t="s">
        <v>39</v>
      </c>
      <c r="C4" s="8">
        <v>28000</v>
      </c>
      <c r="D4" s="8">
        <v>6500</v>
      </c>
      <c r="E4" s="8">
        <v>9000</v>
      </c>
      <c r="F4" s="8">
        <v>5500</v>
      </c>
      <c r="G4" s="8">
        <v>3000</v>
      </c>
      <c r="H4" s="8">
        <v>4000</v>
      </c>
      <c r="I4" s="8">
        <f t="shared" ref="I4:I12" si="0">SUM(C4:H4)</f>
        <v>56000</v>
      </c>
    </row>
    <row r="5" spans="1:9" x14ac:dyDescent="0.3">
      <c r="A5" s="6" t="s">
        <v>188</v>
      </c>
      <c r="B5" s="6" t="s">
        <v>54</v>
      </c>
      <c r="C5" s="8">
        <v>19000</v>
      </c>
      <c r="D5" s="8">
        <v>4000</v>
      </c>
      <c r="E5" s="8">
        <v>11000</v>
      </c>
      <c r="F5" s="8">
        <v>8000</v>
      </c>
      <c r="G5" s="8">
        <v>2500</v>
      </c>
      <c r="H5" s="8">
        <v>1500</v>
      </c>
      <c r="I5" s="8">
        <f t="shared" si="0"/>
        <v>46000</v>
      </c>
    </row>
    <row r="6" spans="1:9" x14ac:dyDescent="0.3">
      <c r="A6" s="6" t="s">
        <v>188</v>
      </c>
      <c r="B6" s="6" t="s">
        <v>60</v>
      </c>
      <c r="C6" s="8">
        <v>22000</v>
      </c>
      <c r="D6" s="8">
        <v>3000</v>
      </c>
      <c r="E6" s="8">
        <v>4000</v>
      </c>
      <c r="F6" s="8">
        <v>3000</v>
      </c>
      <c r="G6" s="8">
        <v>2000</v>
      </c>
      <c r="H6" s="8">
        <v>7000</v>
      </c>
      <c r="I6" s="8">
        <f t="shared" si="0"/>
        <v>41000</v>
      </c>
    </row>
    <row r="7" spans="1:9" x14ac:dyDescent="0.3">
      <c r="A7" s="6" t="s">
        <v>189</v>
      </c>
      <c r="B7" s="6" t="s">
        <v>39</v>
      </c>
      <c r="C7" s="8">
        <v>28840</v>
      </c>
      <c r="D7" s="8">
        <v>6695</v>
      </c>
      <c r="E7" s="8">
        <v>9270</v>
      </c>
      <c r="F7" s="8">
        <v>5665</v>
      </c>
      <c r="G7" s="8">
        <v>3090</v>
      </c>
      <c r="H7" s="8">
        <v>4000</v>
      </c>
      <c r="I7" s="8">
        <f t="shared" si="0"/>
        <v>57560</v>
      </c>
    </row>
    <row r="8" spans="1:9" x14ac:dyDescent="0.3">
      <c r="A8" s="6" t="s">
        <v>189</v>
      </c>
      <c r="B8" s="6" t="s">
        <v>54</v>
      </c>
      <c r="C8" s="8">
        <v>19760</v>
      </c>
      <c r="D8" s="8">
        <v>4160</v>
      </c>
      <c r="E8" s="8">
        <v>11330</v>
      </c>
      <c r="F8" s="8">
        <v>8240</v>
      </c>
      <c r="G8" s="8">
        <v>2575</v>
      </c>
      <c r="H8" s="8">
        <v>1500</v>
      </c>
      <c r="I8" s="8">
        <f t="shared" si="0"/>
        <v>47565</v>
      </c>
    </row>
    <row r="9" spans="1:9" x14ac:dyDescent="0.3">
      <c r="A9" s="6" t="s">
        <v>189</v>
      </c>
      <c r="B9" s="6" t="s">
        <v>60</v>
      </c>
      <c r="C9" s="8">
        <v>22440</v>
      </c>
      <c r="D9" s="8">
        <v>3060</v>
      </c>
      <c r="E9" s="8">
        <v>4120</v>
      </c>
      <c r="F9" s="8">
        <v>3090</v>
      </c>
      <c r="G9" s="8">
        <v>2060</v>
      </c>
      <c r="H9" s="8">
        <v>7350</v>
      </c>
      <c r="I9" s="8">
        <f t="shared" si="0"/>
        <v>42120</v>
      </c>
    </row>
    <row r="10" spans="1:9" x14ac:dyDescent="0.3">
      <c r="A10" s="6" t="s">
        <v>190</v>
      </c>
      <c r="B10" s="6" t="s">
        <v>39</v>
      </c>
      <c r="C10" s="8">
        <v>30800</v>
      </c>
      <c r="D10" s="8">
        <v>7150</v>
      </c>
      <c r="E10" s="8">
        <v>9900</v>
      </c>
      <c r="F10" s="8">
        <v>6050</v>
      </c>
      <c r="G10" s="8">
        <v>3300</v>
      </c>
      <c r="H10" s="8">
        <v>4200</v>
      </c>
      <c r="I10" s="8">
        <f t="shared" si="0"/>
        <v>61400</v>
      </c>
    </row>
    <row r="11" spans="1:9" x14ac:dyDescent="0.3">
      <c r="A11" s="6" t="s">
        <v>190</v>
      </c>
      <c r="B11" s="6" t="s">
        <v>54</v>
      </c>
      <c r="C11" s="8">
        <v>21280</v>
      </c>
      <c r="D11" s="8">
        <v>4480</v>
      </c>
      <c r="E11" s="8">
        <v>12320</v>
      </c>
      <c r="F11" s="8">
        <v>8960</v>
      </c>
      <c r="G11" s="8">
        <v>2800</v>
      </c>
      <c r="H11" s="8">
        <v>1500</v>
      </c>
      <c r="I11" s="8">
        <f t="shared" si="0"/>
        <v>51340</v>
      </c>
    </row>
    <row r="12" spans="1:9" x14ac:dyDescent="0.3">
      <c r="A12" s="6" t="s">
        <v>190</v>
      </c>
      <c r="B12" s="6" t="s">
        <v>60</v>
      </c>
      <c r="C12" s="8">
        <v>23320</v>
      </c>
      <c r="D12" s="8">
        <v>3180</v>
      </c>
      <c r="E12" s="8">
        <v>4240</v>
      </c>
      <c r="F12" s="8">
        <v>3180</v>
      </c>
      <c r="G12" s="8">
        <v>2120</v>
      </c>
      <c r="H12" s="8">
        <v>8400</v>
      </c>
      <c r="I12" s="8">
        <f t="shared" si="0"/>
        <v>44440</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4"/>
  <sheetViews>
    <sheetView showGridLines="0" zoomScaleNormal="100" workbookViewId="0">
      <pane ySplit="3" topLeftCell="A4" activePane="bottomLeft" state="frozen"/>
      <selection pane="bottomLeft"/>
    </sheetView>
  </sheetViews>
  <sheetFormatPr defaultColWidth="8.6640625" defaultRowHeight="14.4" x14ac:dyDescent="0.3"/>
  <cols>
    <col min="1" max="2" width="12" customWidth="1"/>
    <col min="3" max="3" width="15" customWidth="1"/>
    <col min="4" max="4" width="13" customWidth="1"/>
    <col min="5" max="5" width="22" customWidth="1"/>
    <col min="6" max="6" width="12" customWidth="1"/>
    <col min="7" max="7" width="18" customWidth="1"/>
    <col min="8" max="8" width="20" customWidth="1"/>
  </cols>
  <sheetData>
    <row r="1" spans="1:8" ht="17.399999999999999" x14ac:dyDescent="0.3">
      <c r="A1" s="1" t="s">
        <v>191</v>
      </c>
    </row>
    <row r="3" spans="1:8" ht="26.4" x14ac:dyDescent="0.3">
      <c r="A3" s="5" t="s">
        <v>180</v>
      </c>
      <c r="B3" s="5" t="s">
        <v>28</v>
      </c>
      <c r="C3" s="5" t="s">
        <v>192</v>
      </c>
      <c r="D3" s="5" t="s">
        <v>193</v>
      </c>
      <c r="E3" s="5" t="s">
        <v>194</v>
      </c>
      <c r="F3" s="5" t="s">
        <v>195</v>
      </c>
      <c r="G3" s="5" t="s">
        <v>196</v>
      </c>
      <c r="H3" s="5" t="s">
        <v>197</v>
      </c>
    </row>
    <row r="4" spans="1:8" x14ac:dyDescent="0.3">
      <c r="A4" s="6" t="s">
        <v>188</v>
      </c>
      <c r="B4" s="6" t="s">
        <v>39</v>
      </c>
      <c r="C4" s="8">
        <v>14000</v>
      </c>
      <c r="D4" s="8">
        <v>900</v>
      </c>
      <c r="E4" s="8">
        <v>2200</v>
      </c>
      <c r="F4" s="8">
        <v>1450</v>
      </c>
      <c r="G4" s="8">
        <v>420</v>
      </c>
      <c r="H4" s="8">
        <f t="shared" ref="H4:H12" si="0">SUM(C4:G4)</f>
        <v>18970</v>
      </c>
    </row>
    <row r="5" spans="1:8" x14ac:dyDescent="0.3">
      <c r="A5" s="6" t="s">
        <v>188</v>
      </c>
      <c r="B5" s="6" t="s">
        <v>54</v>
      </c>
      <c r="C5" s="8">
        <v>11500</v>
      </c>
      <c r="D5" s="8">
        <v>750</v>
      </c>
      <c r="E5" s="8">
        <v>2600</v>
      </c>
      <c r="F5" s="8">
        <v>1180</v>
      </c>
      <c r="G5" s="8">
        <v>345</v>
      </c>
      <c r="H5" s="8">
        <f t="shared" si="0"/>
        <v>16375</v>
      </c>
    </row>
    <row r="6" spans="1:8" x14ac:dyDescent="0.3">
      <c r="A6" s="6" t="s">
        <v>188</v>
      </c>
      <c r="B6" s="6" t="s">
        <v>60</v>
      </c>
      <c r="C6" s="8">
        <v>12800</v>
      </c>
      <c r="D6" s="8">
        <v>680</v>
      </c>
      <c r="E6" s="8">
        <v>1900</v>
      </c>
      <c r="F6" s="8">
        <v>1310</v>
      </c>
      <c r="G6" s="8">
        <v>385</v>
      </c>
      <c r="H6" s="8">
        <f t="shared" si="0"/>
        <v>17075</v>
      </c>
    </row>
    <row r="7" spans="1:8" x14ac:dyDescent="0.3">
      <c r="A7" s="6" t="s">
        <v>189</v>
      </c>
      <c r="B7" s="6" t="s">
        <v>39</v>
      </c>
      <c r="C7" s="8">
        <v>14000</v>
      </c>
      <c r="D7" s="8">
        <v>945</v>
      </c>
      <c r="E7" s="8">
        <v>2200</v>
      </c>
      <c r="F7" s="8">
        <v>1450</v>
      </c>
      <c r="G7" s="8">
        <v>420</v>
      </c>
      <c r="H7" s="8">
        <f t="shared" si="0"/>
        <v>19015</v>
      </c>
    </row>
    <row r="8" spans="1:8" x14ac:dyDescent="0.3">
      <c r="A8" s="6" t="s">
        <v>189</v>
      </c>
      <c r="B8" s="6" t="s">
        <v>54</v>
      </c>
      <c r="C8" s="8">
        <v>11500</v>
      </c>
      <c r="D8" s="8">
        <v>787.5</v>
      </c>
      <c r="E8" s="8">
        <v>2600</v>
      </c>
      <c r="F8" s="8">
        <v>1180</v>
      </c>
      <c r="G8" s="8">
        <v>345</v>
      </c>
      <c r="H8" s="8">
        <f t="shared" si="0"/>
        <v>16412.5</v>
      </c>
    </row>
    <row r="9" spans="1:8" x14ac:dyDescent="0.3">
      <c r="A9" s="6" t="s">
        <v>189</v>
      </c>
      <c r="B9" s="6" t="s">
        <v>60</v>
      </c>
      <c r="C9" s="8">
        <v>12800</v>
      </c>
      <c r="D9" s="8">
        <v>714</v>
      </c>
      <c r="E9" s="8">
        <v>1900</v>
      </c>
      <c r="F9" s="8">
        <v>1310</v>
      </c>
      <c r="G9" s="8">
        <v>385</v>
      </c>
      <c r="H9" s="8">
        <f t="shared" si="0"/>
        <v>17109</v>
      </c>
    </row>
    <row r="10" spans="1:8" x14ac:dyDescent="0.3">
      <c r="A10" s="6" t="s">
        <v>190</v>
      </c>
      <c r="B10" s="6" t="s">
        <v>39</v>
      </c>
      <c r="C10" s="8">
        <v>14000</v>
      </c>
      <c r="D10" s="8">
        <v>1170</v>
      </c>
      <c r="E10" s="8">
        <v>2200</v>
      </c>
      <c r="F10" s="8">
        <v>1450</v>
      </c>
      <c r="G10" s="8">
        <v>420</v>
      </c>
      <c r="H10" s="8">
        <f t="shared" si="0"/>
        <v>19240</v>
      </c>
    </row>
    <row r="11" spans="1:8" x14ac:dyDescent="0.3">
      <c r="A11" s="6" t="s">
        <v>190</v>
      </c>
      <c r="B11" s="6" t="s">
        <v>54</v>
      </c>
      <c r="C11" s="8">
        <v>11500</v>
      </c>
      <c r="D11" s="8">
        <v>975</v>
      </c>
      <c r="E11" s="8">
        <v>2600</v>
      </c>
      <c r="F11" s="8">
        <v>1180</v>
      </c>
      <c r="G11" s="8">
        <v>345</v>
      </c>
      <c r="H11" s="8">
        <f t="shared" si="0"/>
        <v>16600</v>
      </c>
    </row>
    <row r="12" spans="1:8" x14ac:dyDescent="0.3">
      <c r="A12" s="6" t="s">
        <v>190</v>
      </c>
      <c r="B12" s="6" t="s">
        <v>60</v>
      </c>
      <c r="C12" s="8">
        <v>12800</v>
      </c>
      <c r="D12" s="8">
        <v>884</v>
      </c>
      <c r="E12" s="8">
        <v>1900</v>
      </c>
      <c r="F12" s="8">
        <v>1310</v>
      </c>
      <c r="G12" s="8">
        <v>385</v>
      </c>
      <c r="H12" s="8">
        <f t="shared" si="0"/>
        <v>17279</v>
      </c>
    </row>
    <row r="14" spans="1:8" x14ac:dyDescent="0.3">
      <c r="A14" s="11" t="s">
        <v>198</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3"/>
  <sheetViews>
    <sheetView showGridLines="0" tabSelected="1" zoomScaleNormal="100" workbookViewId="0">
      <selection activeCell="A2" sqref="A2:XFD2"/>
    </sheetView>
  </sheetViews>
  <sheetFormatPr defaultColWidth="8.6640625" defaultRowHeight="14.4" x14ac:dyDescent="0.3"/>
  <cols>
    <col min="1" max="1" width="38" customWidth="1"/>
    <col min="2" max="4" width="16" customWidth="1"/>
    <col min="5" max="5" width="8.6640625" customWidth="1"/>
  </cols>
  <sheetData>
    <row r="1" spans="1:4" ht="17.399999999999999" x14ac:dyDescent="0.3">
      <c r="A1" s="1" t="s">
        <v>199</v>
      </c>
    </row>
    <row r="3" spans="1:4" x14ac:dyDescent="0.3">
      <c r="A3" s="5" t="s">
        <v>200</v>
      </c>
      <c r="B3" s="5" t="s">
        <v>188</v>
      </c>
      <c r="C3" s="5" t="s">
        <v>189</v>
      </c>
      <c r="D3" s="5" t="s">
        <v>190</v>
      </c>
    </row>
    <row r="4" spans="1:4" x14ac:dyDescent="0.3">
      <c r="A4" s="12" t="s">
        <v>201</v>
      </c>
      <c r="B4" s="13"/>
      <c r="C4" s="13"/>
      <c r="D4" s="13"/>
    </row>
    <row r="5" spans="1:4" x14ac:dyDescent="0.3">
      <c r="A5" s="6" t="s">
        <v>202</v>
      </c>
      <c r="B5" s="14"/>
      <c r="C5" s="14"/>
      <c r="D5" s="14"/>
    </row>
    <row r="6" spans="1:4" x14ac:dyDescent="0.3">
      <c r="A6" s="6" t="s">
        <v>203</v>
      </c>
      <c r="B6" s="14"/>
      <c r="C6" s="14"/>
      <c r="D6" s="14"/>
    </row>
    <row r="7" spans="1:4" x14ac:dyDescent="0.3">
      <c r="A7" s="6" t="s">
        <v>204</v>
      </c>
      <c r="B7" s="14"/>
      <c r="C7" s="14"/>
      <c r="D7" s="14"/>
    </row>
    <row r="8" spans="1:4" x14ac:dyDescent="0.3">
      <c r="A8" s="6" t="s">
        <v>205</v>
      </c>
      <c r="B8" s="14"/>
      <c r="C8" s="14"/>
      <c r="D8" s="14"/>
    </row>
    <row r="9" spans="1:4" x14ac:dyDescent="0.3">
      <c r="A9" s="6" t="s">
        <v>206</v>
      </c>
      <c r="B9" s="14"/>
      <c r="C9" s="14"/>
      <c r="D9" s="14"/>
    </row>
    <row r="10" spans="1:4" x14ac:dyDescent="0.3">
      <c r="A10" s="12" t="s">
        <v>207</v>
      </c>
      <c r="B10" s="13"/>
      <c r="C10" s="13"/>
      <c r="D10" s="13"/>
    </row>
    <row r="11" spans="1:4" x14ac:dyDescent="0.3">
      <c r="A11" s="6" t="s">
        <v>208</v>
      </c>
      <c r="B11" s="14"/>
      <c r="C11" s="14"/>
      <c r="D11" s="14"/>
    </row>
    <row r="12" spans="1:4" x14ac:dyDescent="0.3">
      <c r="A12" s="6" t="s">
        <v>209</v>
      </c>
      <c r="B12" s="14"/>
      <c r="C12" s="14"/>
      <c r="D12" s="14"/>
    </row>
    <row r="13" spans="1:4" x14ac:dyDescent="0.3">
      <c r="A13" s="6" t="s">
        <v>210</v>
      </c>
      <c r="B13" s="14"/>
      <c r="C13" s="14"/>
      <c r="D13" s="14"/>
    </row>
    <row r="14" spans="1:4" x14ac:dyDescent="0.3">
      <c r="A14" s="12" t="s">
        <v>211</v>
      </c>
      <c r="B14" s="13"/>
      <c r="C14" s="13"/>
      <c r="D14" s="13"/>
    </row>
    <row r="15" spans="1:4" x14ac:dyDescent="0.3">
      <c r="A15" s="6" t="s">
        <v>211</v>
      </c>
      <c r="B15" s="14"/>
      <c r="C15" s="14"/>
      <c r="D15" s="14"/>
    </row>
    <row r="16" spans="1:4" x14ac:dyDescent="0.3">
      <c r="A16" s="12" t="s">
        <v>212</v>
      </c>
      <c r="B16" s="13"/>
      <c r="C16" s="13"/>
      <c r="D16" s="13"/>
    </row>
    <row r="17" spans="1:4" x14ac:dyDescent="0.3">
      <c r="A17" s="6" t="s">
        <v>213</v>
      </c>
      <c r="B17" s="14"/>
      <c r="C17" s="14"/>
      <c r="D17" s="14"/>
    </row>
    <row r="18" spans="1:4" x14ac:dyDescent="0.3">
      <c r="A18" s="6" t="s">
        <v>124</v>
      </c>
      <c r="B18" s="14"/>
      <c r="C18" s="14"/>
      <c r="D18" s="14"/>
    </row>
    <row r="19" spans="1:4" x14ac:dyDescent="0.3">
      <c r="A19" s="6" t="s">
        <v>127</v>
      </c>
      <c r="B19" s="14"/>
      <c r="C19" s="14"/>
      <c r="D19" s="14"/>
    </row>
    <row r="20" spans="1:4" x14ac:dyDescent="0.3">
      <c r="A20" s="6" t="s">
        <v>214</v>
      </c>
      <c r="B20" s="14"/>
      <c r="C20" s="14"/>
      <c r="D20" s="14"/>
    </row>
    <row r="21" spans="1:4" x14ac:dyDescent="0.3">
      <c r="A21" s="6" t="s">
        <v>215</v>
      </c>
      <c r="B21" s="14"/>
      <c r="C21" s="14"/>
      <c r="D21" s="14"/>
    </row>
    <row r="22" spans="1:4" x14ac:dyDescent="0.3">
      <c r="A22" s="12" t="s">
        <v>216</v>
      </c>
      <c r="B22" s="13"/>
      <c r="C22" s="13"/>
      <c r="D22" s="13"/>
    </row>
    <row r="23" spans="1:4" x14ac:dyDescent="0.3">
      <c r="A23" s="6" t="s">
        <v>216</v>
      </c>
      <c r="B23" s="14"/>
      <c r="C23" s="14"/>
      <c r="D23" s="14"/>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32"/>
  <sheetViews>
    <sheetView showGridLines="0" topLeftCell="A7" zoomScaleNormal="100" workbookViewId="0">
      <selection activeCell="B14" sqref="B14"/>
    </sheetView>
  </sheetViews>
  <sheetFormatPr defaultColWidth="8.6640625" defaultRowHeight="14.4" x14ac:dyDescent="0.3"/>
  <cols>
    <col min="1" max="1" width="38" customWidth="1"/>
    <col min="2" max="4" width="16" customWidth="1"/>
  </cols>
  <sheetData>
    <row r="1" spans="1:4" ht="17.399999999999999" x14ac:dyDescent="0.3">
      <c r="A1" s="1" t="s">
        <v>217</v>
      </c>
    </row>
    <row r="2" spans="1:4" x14ac:dyDescent="0.3">
      <c r="A2" s="2" t="s">
        <v>218</v>
      </c>
    </row>
    <row r="4" spans="1:4" x14ac:dyDescent="0.3">
      <c r="A4" s="15" t="s">
        <v>219</v>
      </c>
    </row>
    <row r="5" spans="1:4" x14ac:dyDescent="0.3">
      <c r="A5" s="5" t="s">
        <v>220</v>
      </c>
      <c r="B5" s="5" t="s">
        <v>188</v>
      </c>
      <c r="C5" s="5" t="s">
        <v>189</v>
      </c>
      <c r="D5" s="5" t="s">
        <v>190</v>
      </c>
    </row>
    <row r="6" spans="1:4" x14ac:dyDescent="0.3">
      <c r="A6" s="6" t="s">
        <v>221</v>
      </c>
      <c r="B6" s="16">
        <v>0.28000000000000003</v>
      </c>
      <c r="C6" s="16">
        <v>0.3</v>
      </c>
      <c r="D6" s="16">
        <v>0.3</v>
      </c>
    </row>
    <row r="7" spans="1:4" x14ac:dyDescent="0.3">
      <c r="A7" s="6" t="s">
        <v>222</v>
      </c>
      <c r="B7" s="16">
        <v>0.3</v>
      </c>
      <c r="C7" s="16">
        <v>0.3</v>
      </c>
      <c r="D7" s="16">
        <v>0.3</v>
      </c>
    </row>
    <row r="8" spans="1:4" x14ac:dyDescent="0.3">
      <c r="A8" s="6" t="s">
        <v>223</v>
      </c>
      <c r="B8" s="16">
        <v>0.14000000000000001</v>
      </c>
      <c r="C8" s="16">
        <v>0.14000000000000001</v>
      </c>
      <c r="D8" s="16">
        <v>0.14000000000000001</v>
      </c>
    </row>
    <row r="9" spans="1:4" x14ac:dyDescent="0.3">
      <c r="A9" s="11" t="s">
        <v>224</v>
      </c>
    </row>
    <row r="12" spans="1:4" x14ac:dyDescent="0.3">
      <c r="A12" s="5" t="s">
        <v>200</v>
      </c>
      <c r="B12" s="5" t="s">
        <v>188</v>
      </c>
      <c r="C12" s="5" t="s">
        <v>189</v>
      </c>
      <c r="D12" s="5" t="s">
        <v>190</v>
      </c>
    </row>
    <row r="13" spans="1:4" x14ac:dyDescent="0.3">
      <c r="A13" s="12" t="s">
        <v>201</v>
      </c>
      <c r="B13" s="13"/>
      <c r="C13" s="13"/>
      <c r="D13" s="13"/>
    </row>
    <row r="14" spans="1:4" x14ac:dyDescent="0.3">
      <c r="A14" s="6" t="s">
        <v>202</v>
      </c>
      <c r="B14" s="8">
        <f>SUMIF('Raw - POS Sales Report'!$A:$A,"May 2026",'Raw - POS Sales Report'!$C:$C)</f>
        <v>69000</v>
      </c>
      <c r="C14" s="8">
        <f>SUMIF('Raw - POS Sales Report'!$A:$A,"Jun 2026",'Raw - POS Sales Report'!$C:$C)</f>
        <v>71040</v>
      </c>
      <c r="D14" s="8">
        <f>SUMIF('Raw - POS Sales Report'!$A:$A,"Jul 2026",'Raw - POS Sales Report'!$C:$C)</f>
        <v>75400</v>
      </c>
    </row>
    <row r="15" spans="1:4" x14ac:dyDescent="0.3">
      <c r="A15" s="6" t="s">
        <v>203</v>
      </c>
      <c r="B15" s="8">
        <f>SUMIF('Raw - POS Sales Report'!$A:$A,"May 2026",'Raw - POS Sales Report'!$D:$D)</f>
        <v>13500</v>
      </c>
      <c r="C15" s="8">
        <f>SUMIF('Raw - POS Sales Report'!$A:$A,"Jun 2026",'Raw - POS Sales Report'!$D:$D)</f>
        <v>13915</v>
      </c>
      <c r="D15" s="8">
        <f>SUMIF('Raw - POS Sales Report'!$A:$A,"Jul 2026",'Raw - POS Sales Report'!$D:$D)</f>
        <v>14810</v>
      </c>
    </row>
    <row r="16" spans="1:4" x14ac:dyDescent="0.3">
      <c r="A16" s="6" t="s">
        <v>204</v>
      </c>
      <c r="B16" s="8">
        <f>SUMIF('Raw - POS Sales Report'!$A:$A,"May 2026",'Raw - POS Sales Report'!$E:$E)*(1-B6)+SUMIF('Raw - POS Sales Report'!$A:$A,"May 2026",'Raw - POS Sales Report'!$F:$F)*(1-B7)+SUMIF('Raw - POS Sales Report'!$A:$A,"May 2026",'Raw - POS Sales Report'!$G:$G)*(1-B8)</f>
        <v>35280</v>
      </c>
      <c r="C16" s="8">
        <f>SUMIF('Raw - POS Sales Report'!$A:$A,"Jun 2026",'Raw - POS Sales Report'!$E:$E)*(1-C6)+SUMIF('Raw - POS Sales Report'!$A:$A,"Jun 2026",'Raw - POS Sales Report'!$F:$F)*(1-C7)+SUMIF('Raw - POS Sales Report'!$A:$A,"Jun 2026",'Raw - POS Sales Report'!$G:$G)*(1-C8)</f>
        <v>35844</v>
      </c>
      <c r="D16" s="8">
        <f>SUMIF('Raw - POS Sales Report'!$A:$A,"Jul 2026",'Raw - POS Sales Report'!$E:$E)*(1-D6)+SUMIF('Raw - POS Sales Report'!$A:$A,"Jul 2026",'Raw - POS Sales Report'!$F:$F)*(1-D7)+SUMIF('Raw - POS Sales Report'!$A:$A,"Jul 2026",'Raw - POS Sales Report'!$G:$G)*(1-D8)</f>
        <v>38324.199999999997</v>
      </c>
    </row>
    <row r="17" spans="1:4" x14ac:dyDescent="0.3">
      <c r="A17" s="6" t="s">
        <v>205</v>
      </c>
      <c r="B17" s="8">
        <f>SUMIF('Raw - POS Sales Report'!$A:$A,"May 2026",'Raw - POS Sales Report'!$H:$H)</f>
        <v>12500</v>
      </c>
      <c r="C17" s="8">
        <f>SUMIF('Raw - POS Sales Report'!$A:$A,"Jun 2026",'Raw - POS Sales Report'!$H:$H)</f>
        <v>12850</v>
      </c>
      <c r="D17" s="8">
        <f>SUMIF('Raw - POS Sales Report'!$A:$A,"Jul 2026",'Raw - POS Sales Report'!$H:$H)</f>
        <v>14100</v>
      </c>
    </row>
    <row r="18" spans="1:4" x14ac:dyDescent="0.3">
      <c r="A18" s="17" t="s">
        <v>206</v>
      </c>
      <c r="B18" s="18">
        <f>SUM(B14:B17)</f>
        <v>130280</v>
      </c>
      <c r="C18" s="18">
        <f>SUM(C14:C17)</f>
        <v>133649</v>
      </c>
      <c r="D18" s="18">
        <f>SUM(D14:D17)</f>
        <v>142634.20000000001</v>
      </c>
    </row>
    <row r="19" spans="1:4" x14ac:dyDescent="0.3">
      <c r="A19" s="12" t="s">
        <v>207</v>
      </c>
      <c r="B19" s="13"/>
      <c r="C19" s="13"/>
      <c r="D19" s="13"/>
    </row>
    <row r="20" spans="1:4" x14ac:dyDescent="0.3">
      <c r="A20" s="6" t="s">
        <v>208</v>
      </c>
      <c r="B20" s="8">
        <f>SUMIFS('Raw - Supplier Invoices'!$F:$F,'Raw - Supplier Invoices'!$E:$E,"Food",'Raw - Supplier Invoices'!$D:$D,"&gt;="&amp;DATE(2026,5,1),'Raw - Supplier Invoices'!$D:$D,"&lt;="&amp;DATE(2026,5,31))</f>
        <v>9760</v>
      </c>
      <c r="C20" s="8">
        <f>SUMIFS('Raw - Supplier Invoices'!$F:$F,'Raw - Supplier Invoices'!$E:$E,"Food",'Raw - Supplier Invoices'!$D:$D,"&gt;="&amp;DATE(2026,6,1),'Raw - Supplier Invoices'!$D:$D,"&lt;="&amp;DATE(2026,6,30))</f>
        <v>9906.25</v>
      </c>
      <c r="D20" s="8">
        <f>SUMIFS('Raw - Supplier Invoices'!$F:$F,'Raw - Supplier Invoices'!$E:$E,"Food",'Raw - Supplier Invoices'!$D:$D,"&gt;="&amp;DATE(2026,7,1),'Raw - Supplier Invoices'!$D:$D,"&lt;="&amp;DATE(2026,7,31))</f>
        <v>10911.699999999999</v>
      </c>
    </row>
    <row r="21" spans="1:4" x14ac:dyDescent="0.3">
      <c r="A21" s="6" t="s">
        <v>209</v>
      </c>
      <c r="B21" s="8">
        <f>SUMIFS('Raw - Supplier Invoices'!$F:$F,'Raw - Supplier Invoices'!$E:$E,"Beverage",'Raw - Supplier Invoices'!$D:$D,"&gt;="&amp;DATE(2026,5,1),'Raw - Supplier Invoices'!$D:$D,"&lt;="&amp;DATE(2026,5,31))</f>
        <v>2500</v>
      </c>
      <c r="C21" s="8">
        <f>SUMIFS('Raw - Supplier Invoices'!$F:$F,'Raw - Supplier Invoices'!$E:$E,"Beverage",'Raw - Supplier Invoices'!$D:$D,"&gt;="&amp;DATE(2026,6,1),'Raw - Supplier Invoices'!$D:$D,"&lt;="&amp;DATE(2026,6,30))</f>
        <v>2500</v>
      </c>
      <c r="D21" s="8">
        <f>SUMIFS('Raw - Supplier Invoices'!$F:$F,'Raw - Supplier Invoices'!$E:$E,"Beverage",'Raw - Supplier Invoices'!$D:$D,"&gt;="&amp;DATE(2026,7,1),'Raw - Supplier Invoices'!$D:$D,"&lt;="&amp;DATE(2026,7,31))</f>
        <v>2575</v>
      </c>
    </row>
    <row r="22" spans="1:4" x14ac:dyDescent="0.3">
      <c r="A22" s="17" t="s">
        <v>210</v>
      </c>
      <c r="B22" s="18">
        <f>SUM(B20:B21)</f>
        <v>12260</v>
      </c>
      <c r="C22" s="18">
        <f>SUM(C20:C21)</f>
        <v>12406.25</v>
      </c>
      <c r="D22" s="18">
        <f>SUM(D20:D21)</f>
        <v>13486.699999999999</v>
      </c>
    </row>
    <row r="23" spans="1:4" x14ac:dyDescent="0.3">
      <c r="A23" s="12" t="s">
        <v>211</v>
      </c>
      <c r="B23" s="13"/>
      <c r="C23" s="13"/>
      <c r="D23" s="13"/>
    </row>
    <row r="24" spans="1:4" x14ac:dyDescent="0.3">
      <c r="A24" s="17" t="s">
        <v>211</v>
      </c>
      <c r="B24" s="18">
        <f>B18-B22</f>
        <v>118020</v>
      </c>
      <c r="C24" s="18">
        <f>C18-C22</f>
        <v>121242.75</v>
      </c>
      <c r="D24" s="18">
        <f>D18-D22</f>
        <v>129147.50000000001</v>
      </c>
    </row>
    <row r="25" spans="1:4" x14ac:dyDescent="0.3">
      <c r="A25" s="12" t="s">
        <v>212</v>
      </c>
      <c r="B25" s="13"/>
      <c r="C25" s="13"/>
      <c r="D25" s="13"/>
    </row>
    <row r="26" spans="1:4" x14ac:dyDescent="0.3">
      <c r="A26" s="6" t="s">
        <v>213</v>
      </c>
      <c r="B26" s="8">
        <f>SUMIF('Raw - Payroll Summary'!$A:$A,"May 2026",'Raw - Payroll Summary'!$C:$C)+SUMIF('Raw - Payroll Summary'!$A:$A,"May 2026",'Raw - Payroll Summary'!$D:$D)+SUMIF('Raw - Payroll Summary'!$A:$A,"May 2026",'Raw - Payroll Summary'!$F:$F)+SUMIF('Raw - Payroll Summary'!$A:$A,"May 2026",'Raw - Payroll Summary'!$G:$G)</f>
        <v>45720</v>
      </c>
      <c r="C26" s="8">
        <f>SUMIF('Raw - Payroll Summary'!$A:$A,"Jun 2026",'Raw - Payroll Summary'!$C:$C)+SUMIF('Raw - Payroll Summary'!$A:$A,"Jun 2026",'Raw - Payroll Summary'!$D:$D)+SUMIF('Raw - Payroll Summary'!$A:$A,"Jun 2026",'Raw - Payroll Summary'!$F:$F)+SUMIF('Raw - Payroll Summary'!$A:$A,"Jun 2026",'Raw - Payroll Summary'!$G:$G)</f>
        <v>45836.5</v>
      </c>
      <c r="D26" s="8">
        <f>SUMIF('Raw - Payroll Summary'!$A:$A,"Jul 2026",'Raw - Payroll Summary'!$C:$C)+SUMIF('Raw - Payroll Summary'!$A:$A,"Jul 2026",'Raw - Payroll Summary'!$D:$D)+SUMIF('Raw - Payroll Summary'!$A:$A,"Jul 2026",'Raw - Payroll Summary'!$F:$F)+SUMIF('Raw - Payroll Summary'!$A:$A,"Jul 2026",'Raw - Payroll Summary'!$G:$G)</f>
        <v>46419</v>
      </c>
    </row>
    <row r="27" spans="1:4" x14ac:dyDescent="0.3">
      <c r="A27" s="6" t="s">
        <v>124</v>
      </c>
      <c r="B27" s="8">
        <f>SUMIFS('Raw - Bank Statement'!$E:$E,'Raw - Bank Statement'!$F:$F,"Rent",'Raw - Bank Statement'!$A:$A,"&gt;="&amp;DATE(2026,5,1),'Raw - Bank Statement'!$A:$A,"&lt;="&amp;DATE(2026,5,31))*-1</f>
        <v>8800</v>
      </c>
      <c r="C27" s="8">
        <f>SUMIFS('Raw - Bank Statement'!$E:$E,'Raw - Bank Statement'!$F:$F,"Rent",'Raw - Bank Statement'!$A:$A,"&gt;="&amp;DATE(2026,6,1),'Raw - Bank Statement'!$A:$A,"&lt;="&amp;DATE(2026,6,30))*-1</f>
        <v>8800</v>
      </c>
      <c r="D27" s="8">
        <f>SUMIFS('Raw - Bank Statement'!$E:$E,'Raw - Bank Statement'!$F:$F,"Rent",'Raw - Bank Statement'!$A:$A,"&gt;="&amp;DATE(2026,7,1),'Raw - Bank Statement'!$A:$A,"&lt;="&amp;DATE(2026,7,31))*-1</f>
        <v>8800</v>
      </c>
    </row>
    <row r="28" spans="1:4" x14ac:dyDescent="0.3">
      <c r="A28" s="6" t="s">
        <v>127</v>
      </c>
      <c r="B28" s="8">
        <f>SUMIFS('Raw - Bank Statement'!$E:$E,'Raw - Bank Statement'!$F:$F,"Utilities",'Raw - Bank Statement'!$A:$A,"&gt;="&amp;DATE(2026,5,1),'Raw - Bank Statement'!$A:$A,"&lt;="&amp;DATE(2026,5,31))*-1</f>
        <v>1740</v>
      </c>
      <c r="C28" s="8">
        <f>SUMIFS('Raw - Bank Statement'!$E:$E,'Raw - Bank Statement'!$F:$F,"Utilities",'Raw - Bank Statement'!$A:$A,"&gt;="&amp;DATE(2026,6,1),'Raw - Bank Statement'!$A:$A,"&lt;="&amp;DATE(2026,6,30))*-1</f>
        <v>1844.3999999999999</v>
      </c>
      <c r="D28" s="8">
        <f>SUMIFS('Raw - Bank Statement'!$E:$E,'Raw - Bank Statement'!$F:$F,"Utilities",'Raw - Bank Statement'!$A:$A,"&gt;="&amp;DATE(2026,7,1),'Raw - Bank Statement'!$A:$A,"&lt;="&amp;DATE(2026,7,31))*-1</f>
        <v>2122.7999999999997</v>
      </c>
    </row>
    <row r="29" spans="1:4" x14ac:dyDescent="0.3">
      <c r="A29" s="6" t="s">
        <v>214</v>
      </c>
      <c r="B29" s="8">
        <f>SUMIFS('Raw - Supplier Invoices'!$F:$F,'Raw - Supplier Invoices'!$E:$E,"Cleaning/Supplies",'Raw - Supplier Invoices'!$D:$D,"&gt;="&amp;DATE(2026,5,1),'Raw - Supplier Invoices'!$D:$D,"&lt;="&amp;DATE(2026,5,31))+SUMIFS('Raw - Supplier Invoices'!$F:$F,'Raw - Supplier Invoices'!$E:$E,"Maintenance",'Raw - Supplier Invoices'!$D:$D,"&gt;="&amp;DATE(2026,5,1),'Raw - Supplier Invoices'!$D:$D,"&lt;="&amp;DATE(2026,5,31))+SUMIFS('Raw - Supplier Invoices'!$F:$F,'Raw - Supplier Invoices'!$E:$E,"Marketing",'Raw - Supplier Invoices'!$D:$D,"&gt;="&amp;DATE(2026,5,1),'Raw - Supplier Invoices'!$D:$D,"&lt;="&amp;DATE(2026,5,31))</f>
        <v>1715</v>
      </c>
      <c r="C29" s="8">
        <f>SUMIFS('Raw - Supplier Invoices'!$F:$F,'Raw - Supplier Invoices'!$E:$E,"Cleaning/Supplies",'Raw - Supplier Invoices'!$D:$D,"&gt;="&amp;DATE(2026,6,1),'Raw - Supplier Invoices'!$D:$D,"&lt;="&amp;DATE(2026,6,30))+SUMIFS('Raw - Supplier Invoices'!$F:$F,'Raw - Supplier Invoices'!$E:$E,"Maintenance",'Raw - Supplier Invoices'!$D:$D,"&gt;="&amp;DATE(2026,6,1),'Raw - Supplier Invoices'!$D:$D,"&lt;="&amp;DATE(2026,6,30))+SUMIFS('Raw - Supplier Invoices'!$F:$F,'Raw - Supplier Invoices'!$E:$E,"Marketing",'Raw - Supplier Invoices'!$D:$D,"&gt;="&amp;DATE(2026,6,1),'Raw - Supplier Invoices'!$D:$D,"&lt;="&amp;DATE(2026,6,30))</f>
        <v>1485</v>
      </c>
      <c r="D29" s="8">
        <f>SUMIFS('Raw - Supplier Invoices'!$F:$F,'Raw - Supplier Invoices'!$E:$E,"Cleaning/Supplies",'Raw - Supplier Invoices'!$D:$D,"&gt;="&amp;DATE(2026,7,1),'Raw - Supplier Invoices'!$D:$D,"&lt;="&amp;DATE(2026,7,31))+SUMIFS('Raw - Supplier Invoices'!$F:$F,'Raw - Supplier Invoices'!$E:$E,"Maintenance",'Raw - Supplier Invoices'!$D:$D,"&gt;="&amp;DATE(2026,7,1),'Raw - Supplier Invoices'!$D:$D,"&lt;="&amp;DATE(2026,7,31))+SUMIFS('Raw - Supplier Invoices'!$F:$F,'Raw - Supplier Invoices'!$E:$E,"Marketing",'Raw - Supplier Invoices'!$D:$D,"&gt;="&amp;DATE(2026,7,1),'Raw - Supplier Invoices'!$D:$D,"&lt;="&amp;DATE(2026,7,31))</f>
        <v>1605</v>
      </c>
    </row>
    <row r="30" spans="1:4" x14ac:dyDescent="0.3">
      <c r="A30" s="17" t="s">
        <v>215</v>
      </c>
      <c r="B30" s="18">
        <f>SUM(B26:B29)</f>
        <v>57975</v>
      </c>
      <c r="C30" s="18">
        <f>SUM(C26:C29)</f>
        <v>57965.9</v>
      </c>
      <c r="D30" s="18">
        <f>SUM(D26:D29)</f>
        <v>58946.8</v>
      </c>
    </row>
    <row r="31" spans="1:4" x14ac:dyDescent="0.3">
      <c r="A31" s="12" t="s">
        <v>216</v>
      </c>
      <c r="B31" s="13"/>
      <c r="C31" s="13"/>
      <c r="D31" s="13"/>
    </row>
    <row r="32" spans="1:4" x14ac:dyDescent="0.3">
      <c r="A32" s="17" t="s">
        <v>216</v>
      </c>
      <c r="B32" s="18">
        <f>B24-B30</f>
        <v>60045</v>
      </c>
      <c r="C32" s="18">
        <f>C24-C30</f>
        <v>63276.85</v>
      </c>
      <c r="D32" s="18">
        <f>D24-D30</f>
        <v>70200.700000000012</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9"/>
  <sheetViews>
    <sheetView showGridLines="0" zoomScaleNormal="100" workbookViewId="0">
      <pane ySplit="4" topLeftCell="A5" activePane="bottomLeft" state="frozen"/>
      <selection pane="bottomLeft" activeCell="C20" sqref="C20"/>
    </sheetView>
  </sheetViews>
  <sheetFormatPr defaultColWidth="8.6640625" defaultRowHeight="14.4" x14ac:dyDescent="0.3"/>
  <cols>
    <col min="1" max="1" width="40" customWidth="1"/>
    <col min="2" max="2" width="16" customWidth="1"/>
    <col min="3" max="3" width="14" customWidth="1"/>
    <col min="4" max="4" width="16" customWidth="1"/>
    <col min="5" max="5" width="14" customWidth="1"/>
    <col min="6" max="6" width="12" customWidth="1"/>
    <col min="7" max="7" width="60" customWidth="1"/>
  </cols>
  <sheetData>
    <row r="1" spans="1:7" ht="17.399999999999999" x14ac:dyDescent="0.3">
      <c r="A1" s="1" t="s">
        <v>225</v>
      </c>
    </row>
    <row r="2" spans="1:7" x14ac:dyDescent="0.3">
      <c r="A2" s="2" t="s">
        <v>226</v>
      </c>
    </row>
    <row r="4" spans="1:7" ht="26.4" x14ac:dyDescent="0.3">
      <c r="A4" s="5" t="s">
        <v>200</v>
      </c>
      <c r="B4" s="5" t="s">
        <v>227</v>
      </c>
      <c r="C4" s="5" t="s">
        <v>228</v>
      </c>
      <c r="D4" s="5" t="s">
        <v>229</v>
      </c>
      <c r="E4" s="5" t="s">
        <v>230</v>
      </c>
      <c r="F4" s="5" t="s">
        <v>231</v>
      </c>
      <c r="G4" s="5" t="s">
        <v>232</v>
      </c>
    </row>
    <row r="5" spans="1:7" ht="15" customHeight="1" x14ac:dyDescent="0.3">
      <c r="A5" s="6" t="s">
        <v>206</v>
      </c>
      <c r="B5" s="10">
        <f>'Monthly P&amp;L (Answer Key)'!C18-'Monthly P&amp;L (Answer Key)'!B18</f>
        <v>3369</v>
      </c>
      <c r="C5" s="19">
        <f>IFERROR(('Monthly P&amp;L (Answer Key)'!C18-'Monthly P&amp;L (Answer Key)'!B18)/'Monthly P&amp;L (Answer Key)'!B18,0)</f>
        <v>2.5859686828369664E-2</v>
      </c>
      <c r="D5" s="10">
        <f>'Monthly P&amp;L (Answer Key)'!D18-'Monthly P&amp;L (Answer Key)'!C18</f>
        <v>8985.2000000000116</v>
      </c>
      <c r="E5" s="19">
        <f>IFERROR(('Monthly P&amp;L (Answer Key)'!D18-'Monthly P&amp;L (Answer Key)'!C18)/'Monthly P&amp;L (Answer Key)'!C18,0)</f>
        <v>6.7229833369497796E-2</v>
      </c>
      <c r="F5" s="6" t="b">
        <f t="shared" ref="F5:F19" si="0">IF(OR(ABS(C5)&gt;0.1,ABS(E5)&gt;0.1),TRUE(),FALSE())</f>
        <v>0</v>
      </c>
      <c r="G5" s="20"/>
    </row>
    <row r="6" spans="1:7" ht="15" customHeight="1" x14ac:dyDescent="0.3">
      <c r="A6" s="6" t="s">
        <v>202</v>
      </c>
      <c r="B6" s="10">
        <f>'Monthly P&amp;L (Answer Key)'!C14-'Monthly P&amp;L (Answer Key)'!B14</f>
        <v>2040</v>
      </c>
      <c r="C6" s="19">
        <f>IFERROR(('Monthly P&amp;L (Answer Key)'!C14-'Monthly P&amp;L (Answer Key)'!B14)/'Monthly P&amp;L (Answer Key)'!B14,0)</f>
        <v>2.9565217391304348E-2</v>
      </c>
      <c r="D6" s="10">
        <f>'Monthly P&amp;L (Answer Key)'!D14-'Monthly P&amp;L (Answer Key)'!C14</f>
        <v>4360</v>
      </c>
      <c r="E6" s="19">
        <f>IFERROR(('Monthly P&amp;L (Answer Key)'!D14-'Monthly P&amp;L (Answer Key)'!C14)/'Monthly P&amp;L (Answer Key)'!C14,0)</f>
        <v>6.1373873873873871E-2</v>
      </c>
      <c r="F6" s="6" t="b">
        <f t="shared" si="0"/>
        <v>0</v>
      </c>
      <c r="G6" s="20"/>
    </row>
    <row r="7" spans="1:7" ht="15" customHeight="1" x14ac:dyDescent="0.3">
      <c r="A7" s="6" t="s">
        <v>203</v>
      </c>
      <c r="B7" s="10">
        <f>'Monthly P&amp;L (Answer Key)'!C15-'Monthly P&amp;L (Answer Key)'!B15</f>
        <v>415</v>
      </c>
      <c r="C7" s="19">
        <f>IFERROR(('Monthly P&amp;L (Answer Key)'!C15-'Monthly P&amp;L (Answer Key)'!B15)/'Monthly P&amp;L (Answer Key)'!B15,0)</f>
        <v>3.0740740740740742E-2</v>
      </c>
      <c r="D7" s="10">
        <f>'Monthly P&amp;L (Answer Key)'!D15-'Monthly P&amp;L (Answer Key)'!C15</f>
        <v>895</v>
      </c>
      <c r="E7" s="19">
        <f>IFERROR(('Monthly P&amp;L (Answer Key)'!D15-'Monthly P&amp;L (Answer Key)'!C15)/'Monthly P&amp;L (Answer Key)'!C15,0)</f>
        <v>6.4319080129356804E-2</v>
      </c>
      <c r="F7" s="6" t="b">
        <f t="shared" si="0"/>
        <v>0</v>
      </c>
      <c r="G7" s="20"/>
    </row>
    <row r="8" spans="1:7" ht="30" customHeight="1" x14ac:dyDescent="0.3">
      <c r="A8" s="6" t="s">
        <v>204</v>
      </c>
      <c r="B8" s="10">
        <f>'Monthly P&amp;L (Answer Key)'!C16-'Monthly P&amp;L (Answer Key)'!B16</f>
        <v>564</v>
      </c>
      <c r="C8" s="19">
        <f>IFERROR(('Monthly P&amp;L (Answer Key)'!C16-'Monthly P&amp;L (Answer Key)'!B16)/'Monthly P&amp;L (Answer Key)'!B16,0)</f>
        <v>1.5986394557823129E-2</v>
      </c>
      <c r="D8" s="10">
        <f>'Monthly P&amp;L (Answer Key)'!D16-'Monthly P&amp;L (Answer Key)'!C16</f>
        <v>2480.1999999999971</v>
      </c>
      <c r="E8" s="19">
        <f>IFERROR(('Monthly P&amp;L (Answer Key)'!D16-'Monthly P&amp;L (Answer Key)'!C16)/'Monthly P&amp;L (Answer Key)'!C16,0)</f>
        <v>6.9194286351969558E-2</v>
      </c>
      <c r="F8" s="6" t="b">
        <f t="shared" si="0"/>
        <v>0</v>
      </c>
      <c r="G8" s="20" t="s">
        <v>233</v>
      </c>
    </row>
    <row r="9" spans="1:7" ht="15" customHeight="1" x14ac:dyDescent="0.3">
      <c r="A9" s="6" t="s">
        <v>205</v>
      </c>
      <c r="B9" s="10">
        <f>'Monthly P&amp;L (Answer Key)'!C17-'Monthly P&amp;L (Answer Key)'!B17</f>
        <v>350</v>
      </c>
      <c r="C9" s="19">
        <f>IFERROR(('Monthly P&amp;L (Answer Key)'!C17-'Monthly P&amp;L (Answer Key)'!B17)/'Monthly P&amp;L (Answer Key)'!B17,0)</f>
        <v>2.8000000000000001E-2</v>
      </c>
      <c r="D9" s="10">
        <f>'Monthly P&amp;L (Answer Key)'!D17-'Monthly P&amp;L (Answer Key)'!C17</f>
        <v>1250</v>
      </c>
      <c r="E9" s="19">
        <f>IFERROR(('Monthly P&amp;L (Answer Key)'!D17-'Monthly P&amp;L (Answer Key)'!C17)/'Monthly P&amp;L (Answer Key)'!C17,0)</f>
        <v>9.727626459143969E-2</v>
      </c>
      <c r="F9" s="6" t="b">
        <f t="shared" si="0"/>
        <v>0</v>
      </c>
      <c r="G9" s="20"/>
    </row>
    <row r="10" spans="1:7" ht="30" customHeight="1" x14ac:dyDescent="0.3">
      <c r="A10" s="6" t="s">
        <v>208</v>
      </c>
      <c r="B10" s="10">
        <f>'Monthly P&amp;L (Answer Key)'!C20-'Monthly P&amp;L (Answer Key)'!B20</f>
        <v>146.25</v>
      </c>
      <c r="C10" s="19">
        <f>IFERROR(('Monthly P&amp;L (Answer Key)'!C20-'Monthly P&amp;L (Answer Key)'!B20)/'Monthly P&amp;L (Answer Key)'!B20,0)</f>
        <v>1.4984631147540983E-2</v>
      </c>
      <c r="D10" s="10">
        <f>'Monthly P&amp;L (Answer Key)'!D20-'Monthly P&amp;L (Answer Key)'!C20</f>
        <v>1005.4499999999989</v>
      </c>
      <c r="E10" s="19">
        <f>IFERROR(('Monthly P&amp;L (Answer Key)'!D20-'Monthly P&amp;L (Answer Key)'!C20)/'Monthly P&amp;L (Answer Key)'!C20,0)</f>
        <v>0.10149652996845415</v>
      </c>
      <c r="F10" s="6" t="b">
        <f t="shared" si="0"/>
        <v>1</v>
      </c>
      <c r="G10" s="20" t="s">
        <v>234</v>
      </c>
    </row>
    <row r="11" spans="1:7" ht="30" customHeight="1" x14ac:dyDescent="0.3">
      <c r="A11" s="6" t="s">
        <v>209</v>
      </c>
      <c r="B11" s="10">
        <f>'Monthly P&amp;L (Answer Key)'!C21-'Monthly P&amp;L (Answer Key)'!B21</f>
        <v>0</v>
      </c>
      <c r="C11" s="19">
        <f>IFERROR(('Monthly P&amp;L (Answer Key)'!C21-'Monthly P&amp;L (Answer Key)'!B21)/'Monthly P&amp;L (Answer Key)'!B21,0)</f>
        <v>0</v>
      </c>
      <c r="D11" s="10">
        <f>'Monthly P&amp;L (Answer Key)'!D21-'Monthly P&amp;L (Answer Key)'!C21</f>
        <v>75</v>
      </c>
      <c r="E11" s="19">
        <f>IFERROR(('Monthly P&amp;L (Answer Key)'!D21-'Monthly P&amp;L (Answer Key)'!C21)/'Monthly P&amp;L (Answer Key)'!C21,0)</f>
        <v>0.03</v>
      </c>
      <c r="F11" s="6" t="b">
        <f t="shared" si="0"/>
        <v>0</v>
      </c>
      <c r="G11" s="20" t="s">
        <v>235</v>
      </c>
    </row>
    <row r="12" spans="1:7" ht="15" customHeight="1" x14ac:dyDescent="0.3">
      <c r="A12" s="6" t="s">
        <v>210</v>
      </c>
      <c r="B12" s="10">
        <f>'Monthly P&amp;L (Answer Key)'!C22-'Monthly P&amp;L (Answer Key)'!B22</f>
        <v>146.25</v>
      </c>
      <c r="C12" s="19">
        <f>IFERROR(('Monthly P&amp;L (Answer Key)'!C22-'Monthly P&amp;L (Answer Key)'!B22)/'Monthly P&amp;L (Answer Key)'!B22,0)</f>
        <v>1.1929037520391516E-2</v>
      </c>
      <c r="D12" s="10">
        <f>'Monthly P&amp;L (Answer Key)'!D22-'Monthly P&amp;L (Answer Key)'!C22</f>
        <v>1080.4499999999989</v>
      </c>
      <c r="E12" s="19">
        <f>IFERROR(('Monthly P&amp;L (Answer Key)'!D22-'Monthly P&amp;L (Answer Key)'!C22)/'Monthly P&amp;L (Answer Key)'!C22,0)</f>
        <v>8.7089168765742991E-2</v>
      </c>
      <c r="F12" s="6" t="b">
        <f t="shared" si="0"/>
        <v>0</v>
      </c>
      <c r="G12" s="20"/>
    </row>
    <row r="13" spans="1:7" ht="15" customHeight="1" x14ac:dyDescent="0.3">
      <c r="A13" s="6" t="s">
        <v>211</v>
      </c>
      <c r="B13" s="10">
        <f>'Monthly P&amp;L (Answer Key)'!C24-'Monthly P&amp;L (Answer Key)'!B24</f>
        <v>3222.75</v>
      </c>
      <c r="C13" s="19">
        <f>IFERROR(('Monthly P&amp;L (Answer Key)'!C24-'Monthly P&amp;L (Answer Key)'!B24)/'Monthly P&amp;L (Answer Key)'!B24,0)</f>
        <v>2.7306812404677173E-2</v>
      </c>
      <c r="D13" s="10">
        <f>'Monthly P&amp;L (Answer Key)'!D24-'Monthly P&amp;L (Answer Key)'!C24</f>
        <v>7904.7500000000146</v>
      </c>
      <c r="E13" s="19">
        <f>IFERROR(('Monthly P&amp;L (Answer Key)'!D24-'Monthly P&amp;L (Answer Key)'!C24)/'Monthly P&amp;L (Answer Key)'!C24,0)</f>
        <v>6.519771285293359E-2</v>
      </c>
      <c r="F13" s="6" t="b">
        <f t="shared" si="0"/>
        <v>0</v>
      </c>
      <c r="G13" s="20"/>
    </row>
    <row r="14" spans="1:7" ht="30" customHeight="1" x14ac:dyDescent="0.3">
      <c r="A14" s="6" t="s">
        <v>213</v>
      </c>
      <c r="B14" s="10">
        <f>'Monthly P&amp;L (Answer Key)'!C26-'Monthly P&amp;L (Answer Key)'!B26</f>
        <v>116.5</v>
      </c>
      <c r="C14" s="19">
        <f>IFERROR(('Monthly P&amp;L (Answer Key)'!C26-'Monthly P&amp;L (Answer Key)'!B26)/'Monthly P&amp;L (Answer Key)'!B26,0)</f>
        <v>2.5481189851268593E-3</v>
      </c>
      <c r="D14" s="10">
        <f>'Monthly P&amp;L (Answer Key)'!D26-'Monthly P&amp;L (Answer Key)'!C26</f>
        <v>582.5</v>
      </c>
      <c r="E14" s="19">
        <f>IFERROR(('Monthly P&amp;L (Answer Key)'!D26-'Monthly P&amp;L (Answer Key)'!C26)/'Monthly P&amp;L (Answer Key)'!C26,0)</f>
        <v>1.2708212887109618E-2</v>
      </c>
      <c r="F14" s="6" t="b">
        <f t="shared" si="0"/>
        <v>0</v>
      </c>
      <c r="G14" s="20" t="s">
        <v>236</v>
      </c>
    </row>
    <row r="15" spans="1:7" ht="30" customHeight="1" x14ac:dyDescent="0.3">
      <c r="A15" s="6" t="s">
        <v>124</v>
      </c>
      <c r="B15" s="10">
        <f>'Monthly P&amp;L (Answer Key)'!C27-'Monthly P&amp;L (Answer Key)'!B27</f>
        <v>0</v>
      </c>
      <c r="C15" s="19">
        <f>IFERROR(('Monthly P&amp;L (Answer Key)'!C27-'Monthly P&amp;L (Answer Key)'!B27)/'Monthly P&amp;L (Answer Key)'!B27,0)</f>
        <v>0</v>
      </c>
      <c r="D15" s="10">
        <f>'Monthly P&amp;L (Answer Key)'!D27-'Monthly P&amp;L (Answer Key)'!C27</f>
        <v>0</v>
      </c>
      <c r="E15" s="19">
        <f>IFERROR(('Monthly P&amp;L (Answer Key)'!D27-'Monthly P&amp;L (Answer Key)'!C27)/'Monthly P&amp;L (Answer Key)'!C27,0)</f>
        <v>0</v>
      </c>
      <c r="F15" s="6" t="b">
        <f t="shared" si="0"/>
        <v>0</v>
      </c>
      <c r="G15" s="20" t="s">
        <v>237</v>
      </c>
    </row>
    <row r="16" spans="1:7" ht="30" customHeight="1" x14ac:dyDescent="0.3">
      <c r="A16" s="6" t="s">
        <v>127</v>
      </c>
      <c r="B16" s="10">
        <f>'Monthly P&amp;L (Answer Key)'!C28-'Monthly P&amp;L (Answer Key)'!B28</f>
        <v>104.39999999999986</v>
      </c>
      <c r="C16" s="19">
        <f>IFERROR(('Monthly P&amp;L (Answer Key)'!C28-'Monthly P&amp;L (Answer Key)'!B28)/'Monthly P&amp;L (Answer Key)'!B28,0)</f>
        <v>5.9999999999999921E-2</v>
      </c>
      <c r="D16" s="10">
        <f>'Monthly P&amp;L (Answer Key)'!D28-'Monthly P&amp;L (Answer Key)'!C28</f>
        <v>278.39999999999986</v>
      </c>
      <c r="E16" s="19">
        <f>IFERROR(('Monthly P&amp;L (Answer Key)'!D28-'Monthly P&amp;L (Answer Key)'!C28)/'Monthly P&amp;L (Answer Key)'!C28,0)</f>
        <v>0.15094339622641503</v>
      </c>
      <c r="F16" s="6" t="b">
        <f t="shared" si="0"/>
        <v>1</v>
      </c>
      <c r="G16" s="20" t="s">
        <v>238</v>
      </c>
    </row>
    <row r="17" spans="1:7" ht="30" customHeight="1" x14ac:dyDescent="0.3">
      <c r="A17" s="6" t="s">
        <v>214</v>
      </c>
      <c r="B17" s="10">
        <f>'Monthly P&amp;L (Answer Key)'!C29-'Monthly P&amp;L (Answer Key)'!B29</f>
        <v>-230</v>
      </c>
      <c r="C17" s="19">
        <f>IFERROR(('Monthly P&amp;L (Answer Key)'!C29-'Monthly P&amp;L (Answer Key)'!B29)/'Monthly P&amp;L (Answer Key)'!B29,0)</f>
        <v>-0.13411078717201166</v>
      </c>
      <c r="D17" s="10">
        <f>'Monthly P&amp;L (Answer Key)'!D29-'Monthly P&amp;L (Answer Key)'!C29</f>
        <v>120</v>
      </c>
      <c r="E17" s="19">
        <f>IFERROR(('Monthly P&amp;L (Answer Key)'!D29-'Monthly P&amp;L (Answer Key)'!C29)/'Monthly P&amp;L (Answer Key)'!C29,0)</f>
        <v>8.0808080808080815E-2</v>
      </c>
      <c r="F17" s="6" t="b">
        <f t="shared" si="0"/>
        <v>1</v>
      </c>
      <c r="G17" s="20" t="s">
        <v>239</v>
      </c>
    </row>
    <row r="18" spans="1:7" ht="15" customHeight="1" x14ac:dyDescent="0.3">
      <c r="A18" s="6" t="s">
        <v>215</v>
      </c>
      <c r="B18" s="10">
        <f>'Monthly P&amp;L (Answer Key)'!C30-'Monthly P&amp;L (Answer Key)'!B30</f>
        <v>-9.0999999999985448</v>
      </c>
      <c r="C18" s="19">
        <f>IFERROR(('Monthly P&amp;L (Answer Key)'!C30-'Monthly P&amp;L (Answer Key)'!B30)/'Monthly P&amp;L (Answer Key)'!B30,0)</f>
        <v>-1.5696420871062604E-4</v>
      </c>
      <c r="D18" s="10">
        <f>'Monthly P&amp;L (Answer Key)'!D30-'Monthly P&amp;L (Answer Key)'!C30</f>
        <v>980.90000000000146</v>
      </c>
      <c r="E18" s="19">
        <f>IFERROR(('Monthly P&amp;L (Answer Key)'!D30-'Monthly P&amp;L (Answer Key)'!C30)/'Monthly P&amp;L (Answer Key)'!C30,0)</f>
        <v>1.6922017945033226E-2</v>
      </c>
      <c r="F18" s="6" t="b">
        <f t="shared" si="0"/>
        <v>0</v>
      </c>
      <c r="G18" s="20"/>
    </row>
    <row r="19" spans="1:7" ht="15" customHeight="1" x14ac:dyDescent="0.3">
      <c r="A19" s="6" t="s">
        <v>216</v>
      </c>
      <c r="B19" s="10">
        <f>'Monthly P&amp;L (Answer Key)'!C32-'Monthly P&amp;L (Answer Key)'!B32</f>
        <v>3231.8499999999985</v>
      </c>
      <c r="C19" s="19">
        <f>IFERROR(('Monthly P&amp;L (Answer Key)'!C32-'Monthly P&amp;L (Answer Key)'!B32)/'Monthly P&amp;L (Answer Key)'!B32,0)</f>
        <v>5.3823798817553475E-2</v>
      </c>
      <c r="D19" s="10">
        <f>'Monthly P&amp;L (Answer Key)'!D32-'Monthly P&amp;L (Answer Key)'!C32</f>
        <v>6923.8500000000131</v>
      </c>
      <c r="E19" s="19">
        <f>IFERROR(('Monthly P&amp;L (Answer Key)'!D32-'Monthly P&amp;L (Answer Key)'!C32)/'Monthly P&amp;L (Answer Key)'!C32,0)</f>
        <v>0.10942153409975391</v>
      </c>
      <c r="F19" s="6" t="b">
        <f t="shared" si="0"/>
        <v>1</v>
      </c>
      <c r="G19" s="20"/>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 - Ground Truth</vt:lpstr>
      <vt:lpstr>Raw - Supplier Invoices</vt:lpstr>
      <vt:lpstr>Raw - Bank Statement</vt:lpstr>
      <vt:lpstr>Raw - POS Sales Report</vt:lpstr>
      <vt:lpstr>Raw - Payroll Summary</vt:lpstr>
      <vt:lpstr>Monthly P&amp;L (Demo - Start Here)</vt:lpstr>
      <vt:lpstr>Monthly P&amp;L (Answer Key)</vt:lpstr>
      <vt:lpstr>Variance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Ram Bathula</cp:lastModifiedBy>
  <cp:revision>0</cp:revision>
  <dcterms:created xsi:type="dcterms:W3CDTF">2026-07-17T19:34:28Z</dcterms:created>
  <dcterms:modified xsi:type="dcterms:W3CDTF">2026-07-24T17:43:28Z</dcterms:modified>
  <dc:language>en-US</dc:language>
</cp:coreProperties>
</file>